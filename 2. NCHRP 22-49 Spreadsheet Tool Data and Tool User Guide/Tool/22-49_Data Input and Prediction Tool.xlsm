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mc:AlternateContent xmlns:mc="http://schemas.openxmlformats.org/markup-compatibility/2006">
    <mc:Choice Requires="x15">
      <x15ac:absPath xmlns:x15ac="http://schemas.microsoft.com/office/spreadsheetml/2010/11/ac" url="C:\Users\shahr\Dropbox\NCHRP 22-49 TEAM\Work\Deliverable\Final Report\Draft 3\Revised Tool and Data\Tool\"/>
    </mc:Choice>
  </mc:AlternateContent>
  <xr:revisionPtr revIDLastSave="0" documentId="13_ncr:1_{93CD6650-6AD5-4730-B4E4-E141C5AEA1FA}" xr6:coauthVersionLast="47" xr6:coauthVersionMax="47" xr10:uidLastSave="{00000000-0000-0000-0000-000000000000}"/>
  <bookViews>
    <workbookView xWindow="-110" yWindow="-110" windowWidth="19420" windowHeight="10300" tabRatio="766" firstSheet="1" activeTab="1" xr2:uid="{00000000-000D-0000-FFFF-FFFF00000000}"/>
  </bookViews>
  <sheets>
    <sheet name="Defined SPF" sheetId="29" state="hidden" r:id="rId1"/>
    <sheet name="Introduction" sheetId="30" r:id="rId2"/>
    <sheet name="Segment Input" sheetId="23" r:id="rId3"/>
    <sheet name="Segment Output" sheetId="27" r:id="rId4"/>
    <sheet name="Intersection Input" sheetId="25" r:id="rId5"/>
    <sheet name="Intersection Output" sheetId="26" r:id="rId6"/>
  </sheets>
  <externalReferences>
    <externalReference r:id="rId7"/>
    <externalReference r:id="rId8"/>
  </externalReferences>
  <definedNames>
    <definedName name="CRumble">'[1]Construction - Do Not Delete'!$H$17:$H$18</definedName>
    <definedName name="id" localSheetId="0">'[2]Define Variables'!#REF!</definedName>
    <definedName name="id">#REF!</definedName>
    <definedName name="ILight">'[1]Construction - Do Not Delete'!$J$29:$J$30</definedName>
    <definedName name="Lighting">'[1]Construction - Do Not Delete'!$H$23:$H$24</definedName>
    <definedName name="Local">'[1]Construction - Do Not Delete'!$L$16:$L$17</definedName>
    <definedName name="LWidth">'[1]Construction - Do Not Delete'!$B$4:$B$10</definedName>
    <definedName name="Not_Present">#REF!</definedName>
    <definedName name="PLane2">'[1]Construction - Do Not Delete'!$J$17:$J$19</definedName>
    <definedName name="RHR">'[1]Construction - Do Not Delete'!$F$4:$F$10</definedName>
    <definedName name="SpEnforce">'[1]Construction - Do Not Delete'!$J$23:$J$24</definedName>
    <definedName name="Spiral2">'[1]Construction - Do Not Delete'!$F$17:$F$19</definedName>
    <definedName name="SType">'[1]Construction - Do Not Delete'!$D$17:$D$20</definedName>
    <definedName name="SWidth">'[1]Construction - Do Not Delete'!$D$4:$D$12</definedName>
    <definedName name="TWLTL">'[1]Construction - Do Not Delete'!$F$23:$F$24</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<sst xmlns="http://schemas.openxmlformats.org/spreadsheetml/2006/main" count="359" uniqueCount="243">
  <si>
    <t>S_No</t>
  </si>
  <si>
    <t>K</t>
  </si>
  <si>
    <t>A</t>
  </si>
  <si>
    <t>B</t>
  </si>
  <si>
    <t>C</t>
  </si>
  <si>
    <t>O</t>
  </si>
  <si>
    <t>St_CA</t>
  </si>
  <si>
    <t>St_CT</t>
  </si>
  <si>
    <t>St_FL</t>
  </si>
  <si>
    <t>St_MN</t>
  </si>
  <si>
    <t>Year</t>
  </si>
  <si>
    <t>HTZ</t>
  </si>
  <si>
    <t>StateID</t>
  </si>
  <si>
    <t>AADT</t>
  </si>
  <si>
    <t>Truck_AADT</t>
  </si>
  <si>
    <t>St_IL</t>
  </si>
  <si>
    <t>St_TX</t>
  </si>
  <si>
    <t>St_WA</t>
  </si>
  <si>
    <t>%Truck</t>
  </si>
  <si>
    <t>%SUT</t>
  </si>
  <si>
    <t>Property Damage Only</t>
  </si>
  <si>
    <t>PDO</t>
  </si>
  <si>
    <t>AADT (veh/day)</t>
  </si>
  <si>
    <t>Shoulder type</t>
  </si>
  <si>
    <t>Shoulder width (ft)</t>
  </si>
  <si>
    <t>Lane width (ft)</t>
  </si>
  <si>
    <t>Length of segment, L (mi)</t>
  </si>
  <si>
    <r>
      <t>AADT</t>
    </r>
    <r>
      <rPr>
        <vertAlign val="subscript"/>
        <sz val="10"/>
        <rFont val="Calibri"/>
        <family val="2"/>
        <scheme val="minor"/>
      </rPr>
      <t>major</t>
    </r>
    <r>
      <rPr>
        <sz val="10"/>
        <rFont val="Calibri"/>
        <family val="2"/>
        <scheme val="minor"/>
      </rPr>
      <t xml:space="preserve"> (veh/day)</t>
    </r>
  </si>
  <si>
    <r>
      <t>AADT</t>
    </r>
    <r>
      <rPr>
        <vertAlign val="subscript"/>
        <sz val="10"/>
        <rFont val="Calibri"/>
        <family val="2"/>
        <scheme val="minor"/>
      </rPr>
      <t>minor</t>
    </r>
    <r>
      <rPr>
        <sz val="10"/>
        <rFont val="Calibri"/>
        <family val="2"/>
        <scheme val="minor"/>
      </rPr>
      <t xml:space="preserve"> (veh/day)</t>
    </r>
  </si>
  <si>
    <t>StateIDNo</t>
  </si>
  <si>
    <t>Light</t>
  </si>
  <si>
    <t>% Total Truck Traffic</t>
  </si>
  <si>
    <t>% Single Unit Truck Traffic</t>
  </si>
  <si>
    <t>Median Width (ft)</t>
  </si>
  <si>
    <t>Posted Speed Limit (mph)</t>
  </si>
  <si>
    <t>High Truck Zone</t>
  </si>
  <si>
    <t>Crash History</t>
  </si>
  <si>
    <t>Fatal</t>
  </si>
  <si>
    <t>Possible Injury</t>
  </si>
  <si>
    <t>Incapacitating</t>
  </si>
  <si>
    <t>Non-Incapacitating</t>
  </si>
  <si>
    <t>Location of segment (state abbreviation)</t>
  </si>
  <si>
    <t>Major Road Speed Limit (mph)</t>
  </si>
  <si>
    <t>Major:</t>
  </si>
  <si>
    <t>Minor:</t>
  </si>
  <si>
    <t>Light Present</t>
  </si>
  <si>
    <t>Segment Input Data</t>
  </si>
  <si>
    <t>Intersection Input Data</t>
  </si>
  <si>
    <t>Location of intersection (state abbreviation)</t>
  </si>
  <si>
    <t>Seg_Length</t>
  </si>
  <si>
    <t>Ln_Year</t>
  </si>
  <si>
    <t>Number of Lanes</t>
  </si>
  <si>
    <t>ID</t>
  </si>
  <si>
    <t>Model</t>
  </si>
  <si>
    <t>Method</t>
  </si>
  <si>
    <t>Input 1</t>
  </si>
  <si>
    <t>Input 2</t>
  </si>
  <si>
    <t>Input 3</t>
  </si>
  <si>
    <t>Input 4</t>
  </si>
  <si>
    <t>Input 5</t>
  </si>
  <si>
    <t>Input 6</t>
  </si>
  <si>
    <t>HSM</t>
  </si>
  <si>
    <t>FI Count Formula</t>
  </si>
  <si>
    <t>PDO Count Formula</t>
  </si>
  <si>
    <t>NBOPFS</t>
  </si>
  <si>
    <t>NB Formula</t>
  </si>
  <si>
    <t>OPFS Formula</t>
  </si>
  <si>
    <t>O-C Threshold</t>
  </si>
  <si>
    <t>C-B Threshold</t>
  </si>
  <si>
    <t>B-A Threshold</t>
  </si>
  <si>
    <t>A-K Threshold</t>
  </si>
  <si>
    <t>MVPLN</t>
  </si>
  <si>
    <t>O Count Formula</t>
  </si>
  <si>
    <t>C Count Formula</t>
  </si>
  <si>
    <t>B Count Formula</t>
  </si>
  <si>
    <t>A Count Formula</t>
  </si>
  <si>
    <t>K Count Formula</t>
  </si>
  <si>
    <t>Calibration Factors (optional)</t>
  </si>
  <si>
    <t>Intersection ID (optional)</t>
  </si>
  <si>
    <t>Pred_K</t>
  </si>
  <si>
    <t>Pred_A</t>
  </si>
  <si>
    <t>Pred_O</t>
  </si>
  <si>
    <t>Pred_C</t>
  </si>
  <si>
    <t>Pred_B</t>
  </si>
  <si>
    <t>Calib_O</t>
  </si>
  <si>
    <t>Calib_C</t>
  </si>
  <si>
    <t>Calib_B</t>
  </si>
  <si>
    <t>Calib_A</t>
  </si>
  <si>
    <t>Calib_K</t>
  </si>
  <si>
    <t>Pred_Tot</t>
  </si>
  <si>
    <t>Calib_Tot</t>
  </si>
  <si>
    <t xml:space="preserve">Average Crash Counts </t>
  </si>
  <si>
    <t>K_CF</t>
  </si>
  <si>
    <t>A_CF</t>
  </si>
  <si>
    <t>B_CF</t>
  </si>
  <si>
    <t>C_CF</t>
  </si>
  <si>
    <t>O_CF</t>
  </si>
  <si>
    <t>Segment ID (optional)</t>
  </si>
  <si>
    <t>Years of crash data being predicted</t>
  </si>
  <si>
    <t>Facility Type</t>
  </si>
  <si>
    <t>Urban Limited Access 4-Lane Divided</t>
  </si>
  <si>
    <t>Urban Limited Access 6-Lane Divided</t>
  </si>
  <si>
    <t>Urban Limited Access 8-Lane Divided</t>
  </si>
  <si>
    <t>Urban Limited Access 10-Lane Divided</t>
  </si>
  <si>
    <t>Rural Limited Access 4-Lane Divided</t>
  </si>
  <si>
    <t>Rural Limited Access 6-Lane Divided</t>
  </si>
  <si>
    <t>Rural Limited Access 8-Lane Divided</t>
  </si>
  <si>
    <t>Urban Arterial 2-Lane Undivided</t>
  </si>
  <si>
    <t>Urban Arterial 3-Lane</t>
  </si>
  <si>
    <t>Urban Arterial 5-Lane</t>
  </si>
  <si>
    <t>Urban Arterial 4-Lane Undivided</t>
  </si>
  <si>
    <t>Urban Arterial 4-Lane Divided</t>
  </si>
  <si>
    <t>Rural Arterial 2-Lane Undivided</t>
  </si>
  <si>
    <t>Rural Arterial 3-Lane</t>
  </si>
  <si>
    <t>Rural Arterial 4-Lane Undivided</t>
  </si>
  <si>
    <t>Rural Arterial 4-Lane Divided</t>
  </si>
  <si>
    <t>Urban 3-Leg Signalized</t>
  </si>
  <si>
    <t>Urban 4-Leg Signalized</t>
  </si>
  <si>
    <t>Rural 4-Leg Signalized</t>
  </si>
  <si>
    <t>Rural Arterial 5-Lane</t>
  </si>
  <si>
    <t>Min</t>
  </si>
  <si>
    <t>Max</t>
  </si>
  <si>
    <t>Seg Len</t>
  </si>
  <si>
    <t>AADT Maj</t>
  </si>
  <si>
    <t>AADT Min</t>
  </si>
  <si>
    <t>%Truck Maj</t>
  </si>
  <si>
    <t>%Truck Min</t>
  </si>
  <si>
    <t>L Shldr Wid</t>
  </si>
  <si>
    <t>R Shldr Wid</t>
  </si>
  <si>
    <t>Med Wid</t>
  </si>
  <si>
    <t>Spd Lim</t>
  </si>
  <si>
    <t>Lanes Maj</t>
  </si>
  <si>
    <t>Lanes Min</t>
  </si>
  <si>
    <t>Lane Wid</t>
  </si>
  <si>
    <t>[year]*exp(-2.781+(0.660*[St_CA])+(1.043*[St_IL])+(0.471*(Ln([AADT])))+(-.031*[%Truck])+(-.084*[%SUT])+[LnSegL]+(0.369*IF([LW]&gt;12,1,0))+(0.365*IF([ISW]&lt;2,1,0))+(0.626*(IF(AND([ISW]&gt;=2, [ISW]&lt;=3),1,0)))+(0.205*(IF(AND([ISW]&gt;=4, [ISW]&lt;=5),1,0)))+(0.301*IF([OSW]&lt;8,1,0))+(-0.247*IF([SL]&lt;=60,1,0))+(-0.386*(IF(AND([SL]&gt;=61, [SL]&lt;=65),1,0)))+(0.760*[HTZ])+(-0.626*(IF([ST]=2,1,0))*[HTZ]))</t>
  </si>
  <si>
    <t>(-0.341*[St_MN])+(-0.277*[St_WA])+(-0.230*IF([ST]=2,1,0))+(-0.062*IF([SL]&lt;=60,1,0))+(-0.085*(IF(AND([SL]&gt;=61, [SL]&lt;=65),1,0)))+(-.006*[%Truck])+(-.012*[%SUT])</t>
  </si>
  <si>
    <t>[Year]*(exp([LnSegL]-15.8934+1.492*(Ln([AADT]))-0.0172*([ISW]-6)+IF([LW]&lt;13,-0.0376*([LW]-12),ln(0.963)))+exp([LnSegL]-6.5174+0.646*(Ln([AADT]))-0.0172*([ISW]-6)+IF([LW]&lt;13,-0.0376*([LW]-12),ln(0.963))))</t>
  </si>
  <si>
    <t>[Year]*(exp([LnSegL]-20.1824+1.936*(Ln([AADT]))-0.0153*([ISW]-6))+exp([LnSegL]-8.3252+0.876*(Ln([AADT]))-0.0153*([ISW]-6)))</t>
  </si>
  <si>
    <t>[Year]*(exp([LnSegL]-15.94137+1.492*(Ln([AADT]))-0.0172*([ISW]-6)+IF([LW]&lt;13,-0.0376*([LW]-12),ln(0.963)))+exp([LnSegL]-6.44741+0.646*(Ln([AADT]))-0.0172*([ISW]-6)+IF([LW]&lt;13,-0.0376*([LW]-12),ln(0.963))))</t>
  </si>
  <si>
    <t>[Year]*(exp([LnSegL]-20.37041+1.936*(Ln([AADT]))-0.0153*([ISW]-6))+exp([LnSegL]-8.36319+0.876*(Ln([AADT]))-0.0153*([ISW]-6)))</t>
  </si>
  <si>
    <t>[Year]*(exp([LnSegL]-16.14837+1.492*(Ln([AADT]))-0.0172*([ISW]-6)+IF([LW]&lt;13,-0.0376*([LW]-12),ln(0.963)))+exp([LnSegL]-6.37741+0.646*(Ln([AADT]))-0.0172*([ISW]-6)+IF([LW]&lt;13,-0.0376*([LW]-12),ln(0.963))))</t>
  </si>
  <si>
    <t>[Year]*(exp([LnSegL]-20.63341+1.936*(Ln([AADT]))-0.0153*([ISW]-6))+exp([LnSegL]-8.40219+0.876*(Ln([AADT]))-0.0153*([ISW]-6)))</t>
  </si>
  <si>
    <t>[Year]*(exp([LnSegL]-16.28137+1.492*(Ln([AADT]))-0.0172*([ISW]-6)+IF([LW]&lt;13,-0.0376*([LW]-12),ln(0.963)))+exp([LnSegL]-6.58841+0.646*(Ln([AADT]))-0.0172*([ISW]-6)+IF([LW]&lt;13,-0.0376*([LW]-12),ln(0.963))))</t>
  </si>
  <si>
    <t>[Year]*(exp([LnSegL]-20.25341+1.936*(Ln([AADT]))-0.0153*([ISW]-6))+exp([LnSegL]-8.28619+0.876*(Ln([AADT]))-0.0153*([ISW]-6)))</t>
  </si>
  <si>
    <t>[Year]*(exp([LnSegL]-16.39837+1.492*(Ln([AADT]))-0.0172*([ISW]-6)+IF([LW]&lt;13,-0.0376*([LW]-12),ln(0.963)))+exp([LnSegL]-6.51741+0.646*(Ln([AADT]))-0.0172*([ISW]-6)+IF([LW]&lt;13,-0.0376*([LW]-12),ln(0.963))))</t>
  </si>
  <si>
    <t>[Year]*(exp([LnSegL]-20.51441+1.936*(Ln([AADT]))-0.0153*([ISW]-6))+exp([LnSegL]-8.32519+0.876*(Ln([AADT]))-0.0153*([ISW]-6)))</t>
  </si>
  <si>
    <t>[Year]*(exp([LnSegL]-16.44637+1.492*(Ln([AADT]))-0.0172*([ISW]-6)+IF([LW]&lt;13,-0.0376*([LW]-12),ln(0.963)))+exp([LnSegL]-6.44741+0.646*(Ln([AADT]))-0.0172*([ISW]-6)+IF([LW]&lt;13,-0.0376*([LW]-12),ln(0.963))))</t>
  </si>
  <si>
    <t>[Year]*(exp([LnSegL]-20.70241+1.936*(Ln([AADT]))-0.0153*([ISW]-6))+exp([LnSegL]-8.36319+0.876*(Ln([AADT]))-0.0153*([ISW]-6)))</t>
  </si>
  <si>
    <t>[Year]*exp(0.375+(-1.640*[St_MN])+(-1.369*[St_TX])+(-1.162*[St_WA])+(0.341*(Ln([AADT])))+(-0.075*(Ln([AADT]))*(IF([AADT]&lt;=8500,1,0)))+(-0.045*(Ln([AADT]))*(IF([AADT]&lt;=15500,1,0)))+(-0.025*(Ln([AADT]))*(IF([AADT]&lt;=30000,1,0)))+(-.017*[%Truck])+(-.042*[%SUT])+[LnSegL]+(0.390*(IF(AND([SL]&gt;=26, [SL]&lt;=40),1,0))*[HTZ])+(-0.656*(IF([SL]&gt;55,1,0))*[HTZ])+(0.358*IF([SL]&lt;=25,1,0)))</t>
  </si>
  <si>
    <t>(0.025*(Ln([AADT])))+(.039*[LnSegL])</t>
  </si>
  <si>
    <t>[Year]*exp(-0.119+(0.800*[St_IL])+(-0.218*[St_WA])+(0.286*(Ln([AADT])))+[LnSegL]+(-0.053*(Ln([AADT]))*(IF([AADT]&lt;=8000,1,0)))+(-0.041*(Ln([AADT]))*(IF([AADT]&lt;=32000,1,0)))+(-0.032*(Ln([AADT]))*(IF([AADT]&lt;=50000,1,0)))+(0.464*IF([LW]&lt;12,1,0))+(-0.223*IF([LW]&gt;12,1,0))+(0.381*IF([ISW]&lt;8,1,0))+(.337*IF([ST]=2,1,0))+(-0.413*IF([SL]&gt;55,1,0)))</t>
  </si>
  <si>
    <t>(-0.095*[St_IL])+(-0.089*[St_FL])+(-0.177*[St_WA])+(0.033*(Ln([AADT])))+(-0.010*[%Truck])+(0.100*IF([LW]&gt;12,1,0))+(-0.106*IF([OSW]&lt;8,1,0))+(.076*IF([ST]=2,1,0))+(0.114*IF([SL]&gt;55,1,0))</t>
  </si>
  <si>
    <t>[Year]*exp(0.012+(0.800*[St_IL])+(-0.218*[St_WA])+(0.286*(Ln([AADT])))+[LnSegL]+(-0.053*(Ln([AADT]))*(IF([AADT]&lt;=8000,1,0)))+(-0.041*(Ln([AADT]))*(IF([AADT]&lt;=32000,1,0)))+(-0.032*(Ln([AADT]))*(IF([AADT]&lt;=50000,1,0)))+(0.464*IF([LW]&lt;12,1,0))+(-0.223*IF([LW]&gt;12,1,0))+(0.381*IF([ISW]&lt;8,1,0))+(0.337*IF([ST]=2,1,0))+(-0.413*IF([SL]&gt;55,1,0)))</t>
  </si>
  <si>
    <t>(-0.095*[St_IL])+(-0.089*[St_FL])+(-0.177*[St_WA])+(0.033*(Ln([AADT])))+(-0.010*[%Truck])+(0.100*IF([LW]&gt;12,1,0))+(-0.106*IF([OSW]&lt;8,1,0))+(.076*IF([ST]=2,1,0))+(1.181*IF([SL]&lt;=25,1,0))+(0.114*IF([SL]&gt;55,1,0))</t>
  </si>
  <si>
    <t>[Year]*exp(-2.677+(1.228*[St_IL])+(1.602*[St_FL])+(0.489*(Ln([AADT])))+(0.076*(Ln([AADT]))*(IF([AADT]&lt;=4000,1,0)))+(-0.042*(Ln([AADT]))*(IF([AADT]&lt;=18000,1,0)))+(-0.043*[%Truck])+[LnSegL]+(0.204*IF([LW]&lt;12,1,0))+(0.410*IF([OSW]&lt;8,1,0))+(1.396*(IF([SL]&lt;=25,1,0))*[HTZ])+(0.863*(IF(AND([SL]&gt;=26, [SL]&lt;=40),1,0))*[HTZ])+(-0.310*(IF([OSW]&lt;8,1,0))*[HTZ]))</t>
  </si>
  <si>
    <t>(0.104*(IF(AND([OSW]&gt;=2, [OSW]&lt;=3),1,0)))+(.029*[LnSegL])+(-0.405*(IF([SL]&lt;=25,1,0))*[HTZ])</t>
  </si>
  <si>
    <t>[Year]*exp(0.685+(0.181*(Ln([AADT])))+(-0.045*(Ln([AADT]))*(IF([AADT]&lt;=14000,1,0)))+(-0.044*(Ln([AADT]))*(IF([AADT]&lt;=24000,1,0)))+(-0.054*(Ln([AADT]))*(IF([AADT]&lt;=40000,1,0)))+(-0.018*[%Truck])+(-.025*[%SUT])+[LnSegL]+(-0.242*IF([LW]&gt;12,1,0))+(-0.202*IF([MW]&gt;20,1,0))+(0.225*IF([OSW]&lt;8,1,0))+(0.355*IF([ISW]&lt;8,1,0))+(.730*IF([ST]=2,1,0))+(0.795*(IF(AND([SL]&gt;=26, [SL]&lt;=40),1,0)))+(0.333*(IF(AND([SL]&gt;=26, [SL]&lt;=40),1,0))*[HTZ]))</t>
  </si>
  <si>
    <t>(0.031*(Ln([AADT])))+(-0.011*[%Truck])+(0.018*[%SUT])+(.030*[LnSegL])+(-0.070*IF([MW]&gt;20,1,0))+(-0.106*IF([ISW]&lt;8,1,0))+(0.208*IF([SL]&gt;55,1,0))+(-0.117*(IF([ISW]&lt;8,1,0))*[HTZ])</t>
  </si>
  <si>
    <t>[Year]*exp(-5.259+(0.405*[St_CA])+(0.479*[St_CT])+(0.261*[St_WA])+(0.657*(Ln([AADT])))+(-0.034*(Ln([AADT]))*(IF([AADT]&lt;=2500,1,0)))+(-0.044*(Ln([AADT]))*(IF([AADT]&lt;=8000,1,0)))+(-.014*[%Truck])+[LnSegL]+(0.267*IF([OSW]&lt;2,1,0))+(0.331*(IF(AND([OSW]&gt;=2, [OSW]&lt;=3),1,0)))+(0.184*(IF(AND([OSW]&gt;=4, [OSW]&lt;=5),1,0)))+(0.600*IF([ST]=2,1,0))+(0.459*IF([SL]&lt;=40,1,0))+(-0.184*IF([SL]&gt;55,1,0))+(-0.235*(IF([SL]&gt;55,1,0))*[HTZ]))</t>
  </si>
  <si>
    <t>(0.388*[St_CA])+(0.172*[St_MN])+(.055*[LnSegL])+(0.130*IF([LW]&gt;12,1,0))+(-0.112*IF([ST]=2,1,0))+(0.106*IF([SL]&gt;55,1,0))+(-.011*[%Truck])+(0.261*[HTZ])</t>
  </si>
  <si>
    <t>[Year]*exp(-7.695+(-0.949*[St_MN])+(-0.592*[St_WA])+(0.975*(Ln([AADT])))+(0.026*(Ln([AADT]))*(IF([AADT]&lt;=8500,1,0)))+(-.020*[%Truck])+(-.119*[%SUT])+[LnSegL]+(0.236*IF([OSW]&lt;6,1,0))+(0.460*(IF(AND([OSW]&gt;=6, [OSW]&lt;=7),1,0)))+(0.589*IF([ST]=2,1,0))+(-0.296*IF([SL]&gt;55,1,0)))</t>
  </si>
  <si>
    <t>(-0.349*[St_MN])+(-0.342*[St_WA])+(-0.237*IF([ST]=2,1,0))+(0.153*IF([SL]&gt;55,1,0))+(-.009*[%Truck])</t>
  </si>
  <si>
    <t>[Year]*exp(-7.695+(-0.949*[St_MN])+(-0.592*[St_WA])+(1.064*(Ln([AADT])))+(0.026*(Ln([AADT]))*(IF([AADT]&lt;=8500,1,0)))+(-.020*[%Truck])+(-.436*[%SUT])+[LnSegL]+(0.236*IF([OSW]&lt;6,1,0))+(0.460*(IF(AND([OSW]&gt;=6, [OSW]&lt;=7),1,0)))+(0.589*IF([ST]=2,1,0))+(-0.296*IF([SL]&gt;55,1,0)))</t>
  </si>
  <si>
    <t>(-0.349*[St_MN])+(-0.342*[St_WA])+(-0.237*IF([ST]=2,1,0))+(0.153*IF([SL]&gt;55,1,0))+(-.009*[%Truck])+(-.137*[%SUT])</t>
  </si>
  <si>
    <t>[Year]*exp(-4.5599+(1.250*[St_IL])+(-0.5422*[St_MN])+(1.000*[LnSegL])+(.6506*(Ln([AADT])))+(0.0289*(Ln([AADT]))*(IF([AADT]&lt;=10000,1,0)))+(-0.038*(Ln([AADT]))*(IF([AADT]&lt;=14000,1,0)))+(-0.0301*[%Truck])+(-.100*[%SUT])+(-.2373*IF([LW]&gt;12,1,0))+(0.1609*IF([OSW]&lt;6,1,0))+(.2362*IF([ST]=2,1,0))+(-.2467*IF([SL]&gt;55,1,0)))</t>
  </si>
  <si>
    <t>(-0.4697*[St_IL])+(-0.2904*[St_WA])+(-.0683*(Ln([AADT])))+(.0355*[LnSegL])+(-.2226*IF([SL]&lt;=40,1,0))</t>
  </si>
  <si>
    <t>[Year]*exp(-6.632+(0.579*[St_IL])+(-0.388*[St_MN])+(-0.495*[St_WA])+(0.817*(Ln([AADT])))+(-0.044*(Ln([AADT]))*(IF(AND([AADT]&gt;5000, [AADT]&lt;=8500),1,0)))+(-0.019*(Ln([AADT]))*(IF(AND([AADT]&gt;8500, [AADT]&lt;=14000),1,0)))+(-.024*[%Truck])+(-.057*[%SUT])+[LnSegL]+(0.270*IF([OSW]&lt;4,1,0))+(0.341*(IF(AND([OSW]&gt;=4, [OSW]&lt;=5),1,0)))+(0.644*(IF(AND([OSW]&gt;=6, [OSW]&lt;=7),1,0)))+(0.301*IF([ISW]&lt;2,1,0))+(0.561*(IF(AND([ISW]&gt;=2, [ISW]&lt;=3),1,0)))+(0.500*(IF(AND([ISW]&gt;=4, [ISW]&lt;=5),1,0)))+(0.515*(IF(AND([ISW]&gt;=6, [ISW]&lt;=7),1,0)))+(-0.353*(IF(AND([MW]&gt;=21, [MW]&lt;=40),1,0)))+(-0.258*(IF(AND([MW]&gt;=41, [MW]&lt;=60),1,0)))+(-0.231*IF([MW]&gt;60,1,0))+(0.361*IF([ST]=2,1,0))+(0.494*IF([SL]&lt;=40,1,0)))</t>
  </si>
  <si>
    <t>(0.199*[St_CA])+(0.005*[%Truck])+(-.025*[%SUT])+(-0.273*(IF(AND([OSW]&gt;=6, [OSW]&lt;=7),1,0)))+(-0.168*(IF(AND([ISW]&gt;=4, [ISW]&lt;=5),1,0)))+(-0.094*(IF(AND([MW]&gt;=41, [MW]&lt;=60),1,0)))+(-0.075*IF([MW]&gt;60,1,0))+(-0.225*IF([ST]=2,1,0))+(0.138*IF([SL]&gt;55,1,0))+(.041*[LnSegL])+(0.254*IF([LW]&lt;12,1,0))</t>
  </si>
  <si>
    <t>[Year]*exp(-13.399+2.639*[St_CT]+3.616*[St_FL]+1.812*[St_MN]+0.750*Ln([MajAADT])+0.454*Ln([MinAADT])+0.199*[Light]+0.297*IF([MajSL]&gt;55,1,0)+0.5*0.920)</t>
  </si>
  <si>
    <t>[Year]*exp(-13.782 +1.689*[St_CT]+3.096*[St_FL]+1.529*[St_MN]+0.741*Ln([MajAADT])+0.407*Ln([MinAADT])+0.409*[Light]-0.304*IF([MajSL]&lt;=25,1,0)-0.129*IF([MajSL]&gt;25,IF([MajSL]&lt;=40,1,0),0)+0.5*0.842)</t>
  </si>
  <si>
    <t>[Year]*exp(-12.796 +1.754*[St_CT]+2.791*[St_FL]+1.016*[St_MN]+0.685*Ln([MajAADT])+0.336*Ln([MinAADT])-0.020*(Ln([MajAADT]))*(IF([MajAADT]&gt;25000,1,0))-0.413*IF([MajSL]&lt;=25,1,0)-0.236*IF([MajSL]&gt;25,IF([MajSL]&lt;=40,1,0),0)+0.5*0.799)</t>
  </si>
  <si>
    <t>[Year]*exp(-14.074+1.551*[St_CT]+3.141*[St_FL]+1.253*[St_MN]+0.646*Ln([MajAADT])-0.028*(Ln([MajAADT]))*(IF([MajAADT]&gt;25000,1,0))+0.335*Ln([MinAADT])+0.230*[HTZ]-0.515*IF([MajSL]&lt;=25,1,0)-0.400*IF([MajSL]&gt;25,IF([MajSL]&lt;=40,1,0),0)+0.5*1.051)</t>
  </si>
  <si>
    <t>[Year]*exp(-12.755+2.306*[St_FL]+0.589*Ln([MajAADT])-0.386*IF([MajSL]&gt;25,IF([MajSL]&lt;=40,1,0),0)+0.5*0.754)</t>
  </si>
  <si>
    <t>[Year]*exp(-8.619-3.101*[St_CA]-0.887*[St_CT]-1.647*[St_MN]+0.625*Ln([MajAADT])+0.525*Ln([MinAADT])+0.021*[%MajTruck]-0.226*[Light]-0.164*(IF([MajSL]&lt;=25,1,0))+0.412*(IF([MajSL]&gt;55,1,0))*[HTZ]+0.269*[Light]*[HTZ]+0.5*0.859)</t>
  </si>
  <si>
    <t>[Year]*exp(-8.784-2.455*[St_CA]-1.167*[St_CT]-1.301*[St_MN]+0.571*Ln([MajAADT])+0.432*Ln([MinAADT])-0.259*IF([MajSL]&lt;=25,1,0)-0.133*IF([MajSL]&gt;25,IF([MajSL]&lt;=40,1,0),0)+0.5*0.839)</t>
  </si>
  <si>
    <t>[Year]*exp(-7.755 -2.59*[St_CA]-0.762*[St_CT]-1.625*[St_MN]+0.441*Ln([MajAADT])+0.389*Ln([MinAADT])+0.026*(Ln([MinAADT]))*(IF([MinAADT]&gt;20000,1,0))-0.084*[%MinTruck]-0.304*IF([MajSL]&lt;=25,1,0)-0.238*IF([MajSL]&gt;25,IF([MajSL]&lt;=40,1,0),0)+0.535*(IF([MajSL]&gt;55,1,0))*[HTZ]+0.5*0.766)</t>
  </si>
  <si>
    <t>[Year]*exp(-8.962-2.744*[St_CA]-1.954*[St_CT]-1.995*[St_MN]+0.436*Ln([MajAADT])+0.390*Ln([MinAADT])-0.078*[%MinTruck]-0.473*IF([MajSL]&lt;=25,1,0)-0.373*IF([MajSL]&gt;25,IF([MajSL]&lt;=40,1,0),0)+0.5*1.172)</t>
  </si>
  <si>
    <t>[Year]*exp(-12.616+0.574*Ln([MajAADT])+0.345*Ln([MinAADT])+0.0700*(Ln([MinAADT]))*(IF([MinAADT]&gt;20000,1,0))-0.782*[Light]+0.610*[HTZ]-0.758*IF([MajSL]&lt;=25,1,0)-0.736*IF([MajSL]&gt;25,IF([MajSL]&lt;=40,1,0),0)+0.5*0.682)</t>
  </si>
  <si>
    <t>[Year]*exp(-8.721-2.733*[St_CA]+1.049*[St_FL]+0.705*Ln([MajAADT])+0.300*Ln([MinAADT])+0.026*(Ln([MajAADT]))*(IF([MajAADT]&gt;40000,1,0))+0.464*(IF([MajSL]&gt;55,1,0))+0.5*0.509)</t>
  </si>
  <si>
    <t>[Year]*exp(-10.217-1.984*[St_CA]+1.255*[St_FL]+0.765*Ln([MajAADT])+0.215*Ln([MinAADT])-0.139*(IF([MajSL]&lt;=40,1,0))+0.347*[Light]+0.5*0.528)</t>
  </si>
  <si>
    <t>[Year]*exp(-8.692-1.654*[St_CA]+1.021*[St_FL]+0.621*Ln([MajAADT])+0.165*Ln([MinAADT])-0.209*(IF([MajSL]&lt;=40,1,0))+0.5*0.488)</t>
  </si>
  <si>
    <t>[Year]*exp(-12.449-1.776*[St_CA]+2.025*[St_FL]+0.790*Ln([MajAADT])+0.138*Ln([MinAADT])-0.550*(IF([MajSL]&lt;=40,1,0))+0.5*0.879)</t>
  </si>
  <si>
    <t>[Year]*exp(-14.525+3.306*[St_FL]+0.798*Ln([MajAADT])-0.577*(IF([MajSL]&lt;=40,1,0))+0.5*0.651)</t>
  </si>
  <si>
    <t>[Year]*exp(-11.657+2.799*[St_CT]+3.714*[St_FL]+2.261*[St_MN]+0.834*Ln([MajAADT])+0.270*Ln([MinAADT])-0.026*(Ln([MinAADT]))*(IF([MinAADT]&lt;=20000,1,0))-0.013*[%MajTruck]+0.041*[%MinTruck]+0.195*[Light]*[HTZ]+0.396*(IF([MajSL]&gt;55,1,0))+0.5*0.584)</t>
  </si>
  <si>
    <t>[Year]*exp(-11.453+1.578*[St_CT]+2.552*[St_FL]+1.656*[St_MN]+0.820*Ln([MajAADT])+0.217*Ln([MinAADT])-0.025*(Ln([MinAADT]))*(IF([MinAADT]&lt;=20000,1,0))+0.210*(IF([MajSL]&gt;55,1,0))+0.5*0.613)</t>
  </si>
  <si>
    <t>[Year]*exp(-10.668+1.623*[St_CT]+2.594*[St_FL]+1.319*[St_MN]+0.721*Ln([MajAADT])+0.153*Ln([MinAADT])-0.016*(Ln([MinAADT]))*(IF([MinAADT]&lt;=20000,1,0))-0.026*[%MajTruck]+0.5*0.521)</t>
  </si>
  <si>
    <t>[Year]*exp(-12.857+0.997*[St_CT]+2.997*[St_FL]+1.168*[St_MN]+0.792*Ln([MajAADT])+0.122*Ln([MinAADT])-0.027*(Ln([MinAADT]))*(IF([MinAADT]&lt;=20000,1,0))-0.035*[%MajTruck]+0.5*0.839)</t>
  </si>
  <si>
    <t>[Year]*exp(-12.409-0.755*[St_CT]+1.720*[St_FL]+0.776*[St_MN]+0.694*Ln([MajAADT])+0.5*0.587)</t>
  </si>
  <si>
    <t>[Year]*exp(-10.075+(1.536*[St_CT])+(3.029*[St_FL])+(2.113*[St_MN])+(0.528*Ln([MajAADT]))+(-0.030*(Ln([MajAADT]))*(IF([MajAADT]&lt;=6000,1,0)))+(0.462*(Ln([MinAADT])))+(-0.163*IF([MajSL]&gt;55,1,0)))</t>
  </si>
  <si>
    <t>(0.146*[St_MN])+(-0.077*Ln([MajAADT]))+(-0.251*IF([MajSL]&lt;=40,1,0))</t>
  </si>
  <si>
    <t>[Year]*exp(-9.266+(-1.511*[St_CA])+(1.450*[St_FL])+(0.826*Ln([MajAADT]))+(0.031*(Ln([MajAADT]))*(IF([MajAADT]&lt;=25000,1,0)))+(-0.163*(Ln([MajAADT]))*(IF([MajAADT]&lt;=60000,1,0)))+(0.424*Ln([MinAADT]))+(0.034*(Ln([MinAADT]))*(IF([MinAADT]&lt;=3500,1,0)))+(-0.016*[%MajTruck])+(0.033*[%MinTruck])+(-0.211*IF([MajSL]&gt;55,1,0)))</t>
  </si>
  <si>
    <t>(-0.397*[St_CT])+(-0.154*[St_FL])+(-0.099*Ln([MajAADT]))+(0.136*IF([MajSL]&gt;55,1,0))</t>
  </si>
  <si>
    <t>[Year]*exp(-8.685+(2.116*[St_CT])+(3.084*[St_FL])+(1.968*[St_MN])+(0.690*Ln([MajAADT]))+(0.176*Ln([MinAADT]))+(-0.040*(Ln([MinAADT]))*(IF([MinAADT]&lt;=7000,1,0)))+(0.330*IF([MajSL]&gt;55,1,0)))</t>
  </si>
  <si>
    <t>(0.072*(Ln([MajAADT])))+(-0.112*Ln([MinAADT]))+(-0.028*[%MajTruck])+(0.061*[%MinTruck])+(-0.222*IF([MajSL]&lt;=25,1,0))+(-0.150*(IF(AND([MajSL]&gt;=26,[MajSL]&lt;=40),1,0)))+(0.125*IF([HTZ]=1,1,0))+(0.760*(IF([MajSL]&lt;=25,1,0))*[HTZ])</t>
  </si>
  <si>
    <t>Comments</t>
  </si>
  <si>
    <t>In this project, intersection crashes include crashes that occurred within a 250 ft intersection buffer.</t>
  </si>
  <si>
    <t>Both the %Major truck traffic and %Minor truck traffic variables require the percentage values. For example, if the % Major truck traffic is 50%, the users should input the value as 50.</t>
  </si>
  <si>
    <t>This variable requires the percentage value. For example, if the % Total Truck Traffic is 50%, the users should input the value as 50.</t>
  </si>
  <si>
    <t>LW</t>
  </si>
  <si>
    <t>OSW</t>
  </si>
  <si>
    <t>ISW</t>
  </si>
  <si>
    <t>ST</t>
  </si>
  <si>
    <t>MW</t>
  </si>
  <si>
    <t>SL</t>
  </si>
  <si>
    <t>LnSegL</t>
  </si>
  <si>
    <t>LnAADT</t>
  </si>
  <si>
    <t>Ln_TruckAADT</t>
  </si>
  <si>
    <t>Prop_TruckAADT</t>
  </si>
  <si>
    <t>MajAADT</t>
  </si>
  <si>
    <t>MinAADT</t>
  </si>
  <si>
    <t>%MajTruck</t>
  </si>
  <si>
    <t>%MinTruck</t>
  </si>
  <si>
    <t>MajLane</t>
  </si>
  <si>
    <t>MinLane</t>
  </si>
  <si>
    <t>MajSL</t>
  </si>
  <si>
    <t>MajTruckAADT</t>
  </si>
  <si>
    <t>MinTruckAADT</t>
  </si>
  <si>
    <t>Truck_aadt</t>
  </si>
  <si>
    <t>Ln(MajAADT)</t>
  </si>
  <si>
    <t>Ln(MinAADT)</t>
  </si>
  <si>
    <t>Right/Outside Shld:</t>
  </si>
  <si>
    <t>Left/Inside Shld:</t>
  </si>
  <si>
    <t>The “Average Crash Counts” information is only needed for Urban Limited Access 6-Lane, 8-Lane, 10-Lane and Rural Limited Access 4-Lane,6-Lane and 8-Lane Divided segment facilities. The users can input average crash counts of K, A, B, C and PDO over 2, 3, 4 or 5-year period.</t>
  </si>
  <si>
    <t>This variable requires the percentage value. For example, if the % Single Unit Truck Traffic is 20%, the users should input the value as 20.</t>
  </si>
  <si>
    <t>Urban 3-Leg Stop Controlled</t>
  </si>
  <si>
    <t>Urban 4-Leg Stop Controlled</t>
  </si>
  <si>
    <t>Rural 3-Leg Stop Controlled</t>
  </si>
  <si>
    <t>Rural 4-Leg Stop Controlled</t>
  </si>
  <si>
    <t>Project Description</t>
  </si>
  <si>
    <t xml:space="preserve">The current version of the Highway Safety Manual (HSM) does not accommodate vehicle mix information while estimating total crashes, crashes by type and crashes by severity. However, recent research efforts have shown that heavy vehicle traffic and vehicle mix have a substantial impact on crash frequency and severity. Further, these studies indicate that the consideration of vehicle mix would improve predictive methods for crash frequency and severity. To examine how vehicle mix data can influence the model infrastructure in HSM, the NCHRP 22-49 project, “The Effect of Vehicle Mix on Crash Frequency and Crash Severity” developed and validated a statistically valid predictive methodology to quantify the effect of vehicle mix on crash frequency and severity for various facility types, and also developed a suite of spreadsheet tools for practitioners to quantify the effect of vehicle mix on safety performance across the range of highway activities including planning, design, operations, and safety management. The suite of excel spreadsheet tools includes a) 22-49 Spreadsheet Tool without Calibration, b) 22-49 Spreadsheet Tool with Calibration, and c) 22-49 Data Input and Prediction Tool. The “Spreadsheet Tool without Calibration” provides crash frequency and severity predictions for the user provided data directly without considering calibration. On the other hand, the “Spreadsheet Tool with Calibration” provides crash frequency and severity predictions for the user provided data while modifying the predictions considering calibration. The “Data Input and Prediction Tool” provides practitioners with a tool to undertake crash frequency and severity analysis at a facility resolution (i.e., a specific segment or intersection). Detailed instructions to use the spreadsheet tools can be found in the Spreadsheet Tool User Guidelines document. Further, a detailed description of the methodologies, data preparation and model estimation results of the project can be found in the project final report. </t>
  </si>
  <si>
    <t>Contributions and Contact Information</t>
  </si>
  <si>
    <t>Authors:</t>
  </si>
  <si>
    <t>Naveen Eluru, Tanmoy Bhowmik, Shahrior Pervaz, Dewan Ashraful Parvez, Lauren Hoover, Mohamed Abdel-Aty, John N. Ivan, Kai Wang, Shanshan Zhao</t>
  </si>
  <si>
    <t>University of Central Florida, Orlando, FL</t>
  </si>
  <si>
    <t xml:space="preserve">University of Connecticut, Storrs Mansfield, CT </t>
  </si>
  <si>
    <t>Contact Name:</t>
  </si>
  <si>
    <t xml:space="preserve">Naveen Eluru, University of Central Florida, Orlando, FL </t>
  </si>
  <si>
    <t>Contact Information:</t>
  </si>
  <si>
    <t>naveen.eluru@ucf.edu</t>
  </si>
  <si>
    <t>Attribution</t>
  </si>
  <si>
    <t>The National Cooperative Research Program (NCHRP) produces ready-to-implement solutions to the challenges facing transportation professionals. NCHRP is sponsored by the individual state departments of transportation of the American Association of State Highway and Transportation Officials. NCHRP is administered by the Transportation Research Board (TRB), part of the National Academies of Sciences, Engineering, and Medicine, under a Cooperative Agreement with the Federal Highway Administration (FHWA). Any opinions and conclusions expressed or implied in resulting research products are those of the individuals and organizations who performed the research and are not necessarily those of TRB; the National Academies of Sciences, Engineering, and Medicine; FHWA; or NCHRP sponsors. The spreadsheet tool herein was developed under NCHRP Project 22-49 (https://apps.trb.org/cmsfeed/TRBNetProjectDisplay.asp?ProjectID=4781).</t>
  </si>
  <si>
    <t>Acknowledgements</t>
  </si>
  <si>
    <t>This research is supported by the National Cooperative Highway Research Program, Transportation Research Board of The National Academies of Sciences, Engineering, and Medicine.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</si>
</sst>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6" x14ac:knownFonts="1">
    <font>
      <sz val="12"/>
      <color theme="1"/>
      <name val="times new roman"/>
      <family val="2"/>
    </font>
    <font>
      <sz val="8"/>
      <name val="times new roman"/>
      <family val="2"/>
    </font>
    <font>
      <sz val="10"/>
      <name val="Arial"/>
      <family val="2"/>
    </font>
    <font>
      <sz val="10"/>
      <name val="Calibri"/>
      <family val="2"/>
      <scheme val="minor"/>
    </font>
    <font>
      <b/>
      <sz val="10"/>
      <name val="Calibri"/>
      <family val="2"/>
      <scheme val="minor"/>
    </font>
    <font>
      <vertAlign val="subscript"/>
      <sz val="10"/>
      <name val="Calibri"/>
      <family val="2"/>
      <scheme val="minor"/>
    </font>
    <font>
      <b/>
      <sz val="12"/>
      <color theme="1"/>
      <name val="times new roman"/>
      <family val="1"/>
    </font>
    <font>
      <sz val="12"/>
      <color rgb="FF000000"/>
      <name val="Times New Roman"/>
      <family val="1"/>
    </font>
    <font>
      <i/>
      <sz val="11"/>
      <color rgb="FF7F7F7F"/>
      <name val="Calibri"/>
      <family val="2"/>
      <scheme val="minor"/>
    </font>
    <font>
      <sz val="12"/>
      <color theme="1"/>
      <name val="Times New Roman"/>
      <family val="1"/>
    </font>
    <font>
      <sz val="12"/>
      <name val="times new roman"/>
      <family val="2"/>
    </font>
    <font>
      <sz val="12"/>
      <color rgb="FFFF0000"/>
      <name val="times new roman"/>
      <family val="2"/>
    </font>
    <font>
      <i/>
      <sz val="12"/>
      <color theme="1"/>
      <name val="times new roman"/>
      <family val="1"/>
    </font>
    <font>
      <i/>
      <sz val="12"/>
      <color rgb="FF000000"/>
      <name val="Times New Roman"/>
      <family val="1"/>
    </font>
    <font>
      <u/>
      <sz val="12"/>
      <color theme="10"/>
      <name val="times new roman"/>
      <family val="2"/>
    </font>
    <font>
      <b/>
      <i/>
      <sz val="12"/>
      <color theme="1"/>
      <name val="Times New Roman"/>
      <family val="1"/>
    </font>
  </fonts>
  <fills count="5">
    <fill>
      <patternFill patternType="none"/>
    </fill>
    <fill>
      <patternFill patternType="gray125"/>
    </fill>
    <fill>
      <patternFill patternType="solid">
        <fgColor theme="4" tint="0.59999389629810485"/>
        <bgColor indexed="64"/>
      </patternFill>
    </fill>
    <fill>
      <patternFill patternType="solid">
        <fgColor rgb="FFFFFF99"/>
        <bgColor indexed="64"/>
      </patternFill>
    </fill>
    <fill>
      <patternFill patternType="solid">
        <fgColor theme="0"/>
        <bgColor indexed="64"/>
      </patternFill>
    </fill>
  </fills>
  <borders count="43">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4">
    <xf numFmtId="0" fontId="0" fillId="0" borderId="0"/>
    <xf numFmtId="0" fontId="2" fillId="0" borderId="0"/>
    <xf numFmtId="0" fontId="8" fillId="0" borderId="0" applyNumberFormat="0" applyFill="0" applyBorder="0" applyAlignment="0" applyProtection="0"/>
    <xf numFmtId="0" fontId="14" fillId="0" borderId="0" applyNumberFormat="0" applyFill="0" applyBorder="0" applyAlignment="0" applyProtection="0"/>
  </cellStyleXfs>
  <cellXfs count="103">
    <xf numFmtId="0" fontId="0" fillId="0" borderId="0" xfId="0"/>
    <xf numFmtId="0" fontId="3" fillId="3" borderId="5" xfId="1" applyFont="1" applyFill="1" applyBorder="1" applyAlignment="1" applyProtection="1">
      <alignment horizontal="center" vertical="center"/>
      <protection locked="0"/>
    </xf>
    <xf numFmtId="0" fontId="3" fillId="0" borderId="4" xfId="1" applyFont="1" applyBorder="1" applyAlignment="1">
      <alignment horizontal="center" vertical="center"/>
    </xf>
    <xf numFmtId="0" fontId="3" fillId="0" borderId="7" xfId="1" applyFont="1" applyBorder="1" applyAlignment="1">
      <alignment horizontal="center" vertical="center"/>
    </xf>
    <xf numFmtId="0" fontId="3" fillId="0" borderId="5" xfId="1" applyFont="1" applyBorder="1" applyAlignment="1">
      <alignment horizontal="center" vertical="center"/>
    </xf>
    <xf numFmtId="0" fontId="6" fillId="0" borderId="0" xfId="0" applyFont="1"/>
    <xf numFmtId="0" fontId="3" fillId="3" borderId="20" xfId="1" applyFont="1" applyFill="1" applyBorder="1" applyAlignment="1" applyProtection="1">
      <alignment horizontal="center" vertical="center"/>
      <protection locked="0"/>
    </xf>
    <xf numFmtId="0" fontId="3" fillId="0" borderId="32" xfId="1" applyFont="1" applyBorder="1" applyAlignment="1">
      <alignment horizontal="center" vertical="center"/>
    </xf>
    <xf numFmtId="0" fontId="3" fillId="0" borderId="30" xfId="1" applyFont="1" applyBorder="1" applyAlignment="1">
      <alignment horizontal="center" vertical="center"/>
    </xf>
    <xf numFmtId="0" fontId="3" fillId="3" borderId="4" xfId="1" applyFont="1" applyFill="1" applyBorder="1" applyAlignment="1" applyProtection="1">
      <alignment horizontal="center" vertical="center"/>
      <protection locked="0"/>
    </xf>
    <xf numFmtId="0" fontId="3" fillId="0" borderId="40" xfId="1" applyFont="1" applyBorder="1" applyAlignment="1">
      <alignment horizontal="center" vertical="center"/>
    </xf>
    <xf numFmtId="0" fontId="8" fillId="0" borderId="0" xfId="2" applyFill="1" applyBorder="1"/>
    <xf numFmtId="0" fontId="9" fillId="0" borderId="0" xfId="0" applyFont="1"/>
    <xf numFmtId="0" fontId="10" fillId="0" borderId="0" xfId="0" applyFont="1"/>
    <xf numFmtId="0" fontId="11" fillId="0" borderId="0" xfId="0" applyFont="1"/>
    <xf numFmtId="0" fontId="9" fillId="0" borderId="42" xfId="0" applyFont="1" applyBorder="1"/>
    <xf numFmtId="0" fontId="0" fillId="4" borderId="42" xfId="0" applyFill="1" applyBorder="1"/>
    <xf numFmtId="164" fontId="9" fillId="0" borderId="42" xfId="0" applyNumberFormat="1" applyFont="1" applyBorder="1"/>
    <xf numFmtId="0" fontId="12" fillId="0" borderId="0" xfId="0" applyFont="1"/>
    <xf numFmtId="0" fontId="12" fillId="0" borderId="0" xfId="0" applyFont="1" applyAlignment="1">
      <alignment wrapText="1"/>
    </xf>
    <xf numFmtId="0" fontId="12" fillId="0" borderId="0" xfId="0" applyFont="1" applyAlignment="1">
      <alignment vertical="top" wrapText="1"/>
    </xf>
    <xf numFmtId="0" fontId="0" fillId="0" borderId="0" xfId="0" applyAlignment="1">
      <alignment horizontal="center"/>
    </xf>
    <xf numFmtId="0" fontId="4" fillId="0" borderId="16" xfId="1" applyFont="1" applyBorder="1" applyAlignment="1">
      <alignment horizontal="center" vertical="center"/>
    </xf>
    <xf numFmtId="0" fontId="4" fillId="0" borderId="10" xfId="1" applyFont="1" applyBorder="1" applyAlignment="1">
      <alignment horizontal="center" vertical="center"/>
    </xf>
    <xf numFmtId="0" fontId="4" fillId="0" borderId="15" xfId="1" applyFont="1" applyBorder="1" applyAlignment="1">
      <alignment horizontal="center" vertical="center"/>
    </xf>
    <xf numFmtId="0" fontId="3" fillId="0" borderId="29" xfId="1" applyFont="1" applyBorder="1" applyAlignment="1">
      <alignment horizontal="left" vertical="center"/>
    </xf>
    <xf numFmtId="0" fontId="3" fillId="0" borderId="30" xfId="1" applyFont="1" applyBorder="1" applyAlignment="1">
      <alignment horizontal="left" vertical="center"/>
    </xf>
    <xf numFmtId="0" fontId="4" fillId="0" borderId="3" xfId="1" applyFont="1" applyBorder="1" applyAlignment="1">
      <alignment horizontal="left" vertical="center"/>
    </xf>
    <xf numFmtId="0" fontId="4" fillId="0" borderId="0" xfId="1" applyFont="1" applyAlignment="1">
      <alignment horizontal="left" vertical="center"/>
    </xf>
    <xf numFmtId="0" fontId="4" fillId="0" borderId="25" xfId="1" applyFont="1" applyBorder="1" applyAlignment="1">
      <alignment horizontal="left" vertical="center"/>
    </xf>
    <xf numFmtId="0" fontId="3" fillId="0" borderId="21" xfId="1" applyFont="1" applyBorder="1" applyAlignment="1">
      <alignment horizontal="left" vertical="center"/>
    </xf>
    <xf numFmtId="0" fontId="3" fillId="0" borderId="32" xfId="1" applyFont="1" applyBorder="1" applyAlignment="1">
      <alignment horizontal="left" vertical="center"/>
    </xf>
    <xf numFmtId="0" fontId="3" fillId="0" borderId="18" xfId="1" applyFont="1" applyBorder="1" applyAlignment="1">
      <alignment horizontal="left" vertical="center"/>
    </xf>
    <xf numFmtId="0" fontId="3" fillId="0" borderId="4" xfId="1" applyFont="1" applyBorder="1" applyAlignment="1">
      <alignment horizontal="left" vertical="center"/>
    </xf>
    <xf numFmtId="0" fontId="3" fillId="3" borderId="11" xfId="1" applyFont="1" applyFill="1" applyBorder="1" applyAlignment="1" applyProtection="1">
      <alignment horizontal="center" vertical="center"/>
      <protection locked="0"/>
    </xf>
    <xf numFmtId="0" fontId="3" fillId="3" borderId="14" xfId="1" applyFont="1" applyFill="1" applyBorder="1" applyAlignment="1" applyProtection="1">
      <alignment horizontal="center" vertical="center"/>
      <protection locked="0"/>
    </xf>
    <xf numFmtId="0" fontId="3" fillId="3" borderId="23" xfId="1" applyFont="1" applyFill="1" applyBorder="1" applyAlignment="1" applyProtection="1">
      <alignment horizontal="center" vertical="center"/>
      <protection locked="0"/>
    </xf>
    <xf numFmtId="0" fontId="3" fillId="3" borderId="38" xfId="1" applyFont="1" applyFill="1" applyBorder="1" applyAlignment="1" applyProtection="1">
      <alignment horizontal="center" vertical="center"/>
      <protection locked="0"/>
    </xf>
    <xf numFmtId="0" fontId="3" fillId="3" borderId="19" xfId="1" applyFont="1" applyFill="1" applyBorder="1" applyAlignment="1" applyProtection="1">
      <alignment horizontal="center" vertical="center"/>
      <protection locked="0"/>
    </xf>
    <xf numFmtId="0" fontId="3" fillId="2" borderId="6" xfId="1" applyFont="1" applyFill="1" applyBorder="1" applyAlignment="1" applyProtection="1">
      <alignment horizontal="center" vertical="center"/>
      <protection locked="0"/>
    </xf>
    <xf numFmtId="0" fontId="3" fillId="2" borderId="17" xfId="1" applyFont="1" applyFill="1" applyBorder="1" applyAlignment="1" applyProtection="1">
      <alignment horizontal="center" vertical="center"/>
      <protection locked="0"/>
    </xf>
    <xf numFmtId="0" fontId="3" fillId="0" borderId="29" xfId="1" applyFont="1" applyBorder="1" applyAlignment="1">
      <alignment horizontal="center" vertical="center"/>
    </xf>
    <xf numFmtId="0" fontId="3" fillId="0" borderId="30" xfId="1" applyFont="1" applyBorder="1" applyAlignment="1">
      <alignment horizontal="center" vertical="center"/>
    </xf>
    <xf numFmtId="0" fontId="3" fillId="0" borderId="18" xfId="1" applyFont="1" applyBorder="1" applyAlignment="1">
      <alignment horizontal="center" vertical="center"/>
    </xf>
    <xf numFmtId="0" fontId="3" fillId="0" borderId="4" xfId="1" applyFont="1" applyBorder="1" applyAlignment="1">
      <alignment horizontal="center" vertical="center"/>
    </xf>
    <xf numFmtId="0" fontId="3" fillId="0" borderId="21" xfId="1" applyFont="1" applyBorder="1" applyAlignment="1">
      <alignment horizontal="center" vertical="center"/>
    </xf>
    <xf numFmtId="0" fontId="3" fillId="0" borderId="32" xfId="1" applyFont="1" applyBorder="1" applyAlignment="1">
      <alignment horizontal="center" vertical="center"/>
    </xf>
    <xf numFmtId="0" fontId="3" fillId="3" borderId="32" xfId="1" applyFont="1" applyFill="1" applyBorder="1" applyAlignment="1" applyProtection="1">
      <alignment horizontal="center" vertical="center"/>
      <protection locked="0"/>
    </xf>
    <xf numFmtId="0" fontId="3" fillId="3" borderId="22" xfId="1" applyFont="1" applyFill="1" applyBorder="1" applyAlignment="1" applyProtection="1">
      <alignment horizontal="center" vertical="center"/>
      <protection locked="0"/>
    </xf>
    <xf numFmtId="0" fontId="3" fillId="3" borderId="30" xfId="1" applyFont="1" applyFill="1" applyBorder="1" applyAlignment="1" applyProtection="1">
      <alignment horizontal="center" vertical="center"/>
      <protection locked="0"/>
    </xf>
    <xf numFmtId="0" fontId="3" fillId="3" borderId="31" xfId="1" applyFont="1" applyFill="1" applyBorder="1" applyAlignment="1" applyProtection="1">
      <alignment horizontal="center" vertical="center"/>
      <protection locked="0"/>
    </xf>
    <xf numFmtId="0" fontId="3" fillId="3" borderId="4" xfId="1" applyFont="1" applyFill="1" applyBorder="1" applyAlignment="1" applyProtection="1">
      <alignment horizontal="center" vertical="center"/>
      <protection locked="0"/>
    </xf>
    <xf numFmtId="0" fontId="3" fillId="3" borderId="20" xfId="1" applyFont="1" applyFill="1" applyBorder="1" applyAlignment="1" applyProtection="1">
      <alignment horizontal="center" vertical="center"/>
      <protection locked="0"/>
    </xf>
    <xf numFmtId="0" fontId="3" fillId="3" borderId="5" xfId="1" applyFont="1" applyFill="1" applyBorder="1" applyAlignment="1" applyProtection="1">
      <alignment horizontal="center" vertical="center"/>
      <protection locked="0"/>
    </xf>
    <xf numFmtId="0" fontId="3" fillId="3" borderId="6" xfId="1" applyFont="1" applyFill="1" applyBorder="1" applyAlignment="1" applyProtection="1">
      <alignment horizontal="center" vertical="center"/>
      <protection locked="0"/>
    </xf>
    <xf numFmtId="0" fontId="3" fillId="3" borderId="17" xfId="1" applyFont="1" applyFill="1" applyBorder="1" applyAlignment="1" applyProtection="1">
      <alignment horizontal="center" vertical="center"/>
      <protection locked="0"/>
    </xf>
    <xf numFmtId="0" fontId="3" fillId="2" borderId="8" xfId="1" applyFont="1" applyFill="1" applyBorder="1" applyAlignment="1" applyProtection="1">
      <alignment horizontal="center" vertical="center"/>
      <protection locked="0"/>
    </xf>
    <xf numFmtId="0" fontId="3" fillId="2" borderId="9" xfId="1" applyFont="1" applyFill="1" applyBorder="1" applyAlignment="1" applyProtection="1">
      <alignment horizontal="center" vertical="center"/>
      <protection locked="0"/>
    </xf>
    <xf numFmtId="0" fontId="3" fillId="2" borderId="24" xfId="1" applyFont="1" applyFill="1" applyBorder="1" applyAlignment="1" applyProtection="1">
      <alignment horizontal="center" vertical="center"/>
      <protection locked="0"/>
    </xf>
    <xf numFmtId="0" fontId="3" fillId="0" borderId="7" xfId="1" applyFont="1" applyBorder="1" applyAlignment="1">
      <alignment horizontal="left" vertical="center"/>
    </xf>
    <xf numFmtId="0" fontId="3" fillId="3" borderId="7" xfId="1" applyFont="1" applyFill="1" applyBorder="1" applyAlignment="1" applyProtection="1">
      <alignment horizontal="center" vertical="center"/>
      <protection locked="0"/>
    </xf>
    <xf numFmtId="0" fontId="3" fillId="3" borderId="37" xfId="1" applyFont="1" applyFill="1" applyBorder="1" applyAlignment="1" applyProtection="1">
      <alignment horizontal="center" vertical="center"/>
      <protection locked="0"/>
    </xf>
    <xf numFmtId="0" fontId="13" fillId="0" borderId="0" xfId="0" applyFont="1" applyAlignment="1">
      <alignment horizontal="left" vertical="top" wrapText="1"/>
    </xf>
    <xf numFmtId="0" fontId="3" fillId="2" borderId="12" xfId="1" applyFont="1" applyFill="1" applyBorder="1" applyAlignment="1" applyProtection="1">
      <alignment horizontal="center" vertical="center"/>
      <protection locked="0"/>
    </xf>
    <xf numFmtId="0" fontId="3" fillId="2" borderId="1" xfId="1" applyFont="1" applyFill="1" applyBorder="1" applyAlignment="1" applyProtection="1">
      <alignment horizontal="center" vertical="center"/>
      <protection locked="0"/>
    </xf>
    <xf numFmtId="0" fontId="3" fillId="2" borderId="35" xfId="1" applyFont="1" applyFill="1" applyBorder="1" applyAlignment="1" applyProtection="1">
      <alignment horizontal="center" vertical="center"/>
      <protection locked="0"/>
    </xf>
    <xf numFmtId="0" fontId="4" fillId="0" borderId="2" xfId="1" applyFont="1" applyBorder="1" applyAlignment="1">
      <alignment horizontal="left" vertical="center"/>
    </xf>
    <xf numFmtId="0" fontId="4" fillId="0" borderId="1" xfId="1" applyFont="1" applyBorder="1" applyAlignment="1">
      <alignment horizontal="left" vertical="center"/>
    </xf>
    <xf numFmtId="0" fontId="4" fillId="0" borderId="13" xfId="1" applyFont="1" applyBorder="1" applyAlignment="1">
      <alignment horizontal="left" vertical="center"/>
    </xf>
    <xf numFmtId="0" fontId="3" fillId="2" borderId="5" xfId="1" applyFont="1" applyFill="1" applyBorder="1" applyAlignment="1" applyProtection="1">
      <alignment horizontal="center" vertical="center"/>
      <protection locked="0"/>
    </xf>
    <xf numFmtId="0" fontId="3" fillId="0" borderId="36" xfId="1" applyFont="1" applyBorder="1" applyAlignment="1">
      <alignment horizontal="center" vertical="center"/>
    </xf>
    <xf numFmtId="0" fontId="3" fillId="0" borderId="7" xfId="1" applyFont="1" applyBorder="1" applyAlignment="1">
      <alignment horizontal="center" vertical="center"/>
    </xf>
    <xf numFmtId="0" fontId="3" fillId="2" borderId="32" xfId="1" applyFont="1" applyFill="1" applyBorder="1" applyAlignment="1" applyProtection="1">
      <alignment horizontal="center" vertical="center"/>
      <protection locked="0"/>
    </xf>
    <xf numFmtId="0" fontId="3" fillId="2" borderId="22" xfId="1" applyFont="1" applyFill="1" applyBorder="1" applyAlignment="1" applyProtection="1">
      <alignment horizontal="center" vertical="center"/>
      <protection locked="0"/>
    </xf>
    <xf numFmtId="0" fontId="3" fillId="3" borderId="40" xfId="1" applyFont="1" applyFill="1" applyBorder="1" applyAlignment="1" applyProtection="1">
      <alignment horizontal="center" vertical="center"/>
      <protection locked="0"/>
    </xf>
    <xf numFmtId="0" fontId="3" fillId="3" borderId="41" xfId="1" applyFont="1" applyFill="1" applyBorder="1" applyAlignment="1" applyProtection="1">
      <alignment horizontal="center" vertical="center"/>
      <protection locked="0"/>
    </xf>
    <xf numFmtId="0" fontId="3" fillId="0" borderId="40" xfId="1" applyFont="1" applyBorder="1" applyAlignment="1">
      <alignment horizontal="left" vertical="center"/>
    </xf>
    <xf numFmtId="0" fontId="3" fillId="0" borderId="39" xfId="1" applyFont="1" applyBorder="1" applyAlignment="1">
      <alignment horizontal="center" vertical="center"/>
    </xf>
    <xf numFmtId="0" fontId="3" fillId="0" borderId="40" xfId="1" applyFont="1" applyBorder="1" applyAlignment="1">
      <alignment horizontal="center" vertical="center"/>
    </xf>
    <xf numFmtId="0" fontId="3" fillId="2" borderId="4" xfId="1" applyFont="1" applyFill="1" applyBorder="1" applyAlignment="1" applyProtection="1">
      <alignment horizontal="center" vertical="center"/>
      <protection locked="0"/>
    </xf>
    <xf numFmtId="0" fontId="3" fillId="2" borderId="20" xfId="1" applyFont="1" applyFill="1" applyBorder="1" applyAlignment="1" applyProtection="1">
      <alignment horizontal="center" vertical="center"/>
      <protection locked="0"/>
    </xf>
    <xf numFmtId="0" fontId="3" fillId="0" borderId="18" xfId="0" applyFont="1" applyBorder="1" applyAlignment="1">
      <alignment horizontal="left" vertical="center"/>
    </xf>
    <xf numFmtId="0" fontId="3" fillId="0" borderId="4" xfId="0" applyFont="1" applyBorder="1" applyAlignment="1">
      <alignment horizontal="left" vertical="center"/>
    </xf>
    <xf numFmtId="0" fontId="4" fillId="0" borderId="16" xfId="1" applyFont="1" applyBorder="1" applyAlignment="1">
      <alignment horizontal="left" vertical="center"/>
    </xf>
    <xf numFmtId="0" fontId="4" fillId="0" borderId="10" xfId="1" applyFont="1" applyBorder="1" applyAlignment="1">
      <alignment horizontal="left" vertical="center"/>
    </xf>
    <xf numFmtId="0" fontId="4" fillId="0" borderId="33" xfId="1" applyFont="1" applyBorder="1" applyAlignment="1">
      <alignment horizontal="left" vertical="center"/>
    </xf>
    <xf numFmtId="0" fontId="3" fillId="2" borderId="34" xfId="1" applyFont="1" applyFill="1" applyBorder="1" applyAlignment="1" applyProtection="1">
      <alignment horizontal="center" vertical="center"/>
      <protection locked="0"/>
    </xf>
    <xf numFmtId="0" fontId="3" fillId="2" borderId="10" xfId="1" applyFont="1" applyFill="1" applyBorder="1" applyAlignment="1" applyProtection="1">
      <alignment horizontal="center" vertical="center"/>
      <protection locked="0"/>
    </xf>
    <xf numFmtId="0" fontId="3" fillId="2" borderId="15" xfId="1" applyFont="1" applyFill="1" applyBorder="1" applyAlignment="1" applyProtection="1">
      <alignment horizontal="center" vertical="center"/>
      <protection locked="0"/>
    </xf>
    <xf numFmtId="0" fontId="4" fillId="0" borderId="26" xfId="1" applyFont="1" applyBorder="1" applyAlignment="1">
      <alignment horizontal="center" vertical="center"/>
    </xf>
    <xf numFmtId="0" fontId="4" fillId="0" borderId="27" xfId="1" applyFont="1" applyBorder="1" applyAlignment="1">
      <alignment horizontal="center" vertical="center"/>
    </xf>
    <xf numFmtId="0" fontId="4" fillId="0" borderId="28" xfId="1" applyFont="1" applyBorder="1" applyAlignment="1">
      <alignment horizontal="center" vertical="center"/>
    </xf>
    <xf numFmtId="0" fontId="15" fillId="0" borderId="0" xfId="0" applyFont="1" applyAlignment="1">
      <alignment horizontal="left"/>
    </xf>
    <xf numFmtId="0" fontId="0" fillId="0" borderId="0" xfId="0" applyAlignment="1">
      <alignment horizontal="left" vertical="top" wrapText="1"/>
    </xf>
    <xf numFmtId="0" fontId="15" fillId="0" borderId="0" xfId="0" applyFont="1" applyAlignment="1">
      <alignment horizontal="left" vertical="center"/>
    </xf>
    <xf numFmtId="0" fontId="0" fillId="0" borderId="0" xfId="0" applyAlignment="1">
      <alignment horizontal="left" vertical="center" wrapText="1"/>
    </xf>
    <xf numFmtId="0" fontId="9" fillId="0" borderId="0" xfId="0" applyFont="1" applyAlignment="1">
      <alignment horizontal="left" vertical="top" wrapText="1"/>
    </xf>
    <xf numFmtId="0" fontId="9" fillId="0" borderId="0" xfId="0" applyFont="1" applyAlignment="1">
      <alignment horizontal="left"/>
    </xf>
    <xf numFmtId="0" fontId="0" fillId="0" borderId="0" xfId="0" applyAlignment="1">
      <alignment vertical="top" wrapText="1"/>
    </xf>
    <xf numFmtId="0" fontId="9" fillId="0" borderId="0" xfId="0" applyFont="1" applyAlignment="1">
      <alignment horizontal="center"/>
    </xf>
    <xf numFmtId="0" fontId="14" fillId="0" borderId="0" xfId="3" applyAlignment="1">
      <alignment horizontal="left"/>
    </xf>
    <xf numFmtId="0" fontId="9" fillId="0" borderId="0" xfId="0" applyFont="1" applyAlignment="1">
      <alignment horizontal="left" vertical="center" wrapText="1"/>
    </xf>
    <xf numFmtId="0" fontId="15" fillId="0" borderId="0" xfId="0" applyFont="1" applyAlignment="1">
      <alignment horizontal="center" vertical="center"/>
    </xf>
  </cellXfs>
  <cellStyles count="4">
    <cellStyle name="Explanatory Text" xfId="2" builtinId="53"/>
    <cellStyle name="Hyperlink" xfId="3" builtinId="8"/>
    <cellStyle name="Normal" xfId="0" builtinId="0"/>
    <cellStyle name="Normal 2" xfId="1" xr:uid="{0B7419A0-1096-448F-A8E7-F658464EC5FC}"/>
  </cellStyles>
  <dxfs count="2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u val="double"/>
        <color rgb="FFC00000"/>
      </font>
    </dxf>
    <dxf>
      <font>
        <b/>
        <i val="0"/>
        <u val="double"/>
        <color rgb="FFC0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228600</xdr:colOff>
          <xdr:row>27</xdr:row>
          <xdr:rowOff>25400</xdr:rowOff>
        </xdr:from>
        <xdr:to>
          <xdr:col>7</xdr:col>
          <xdr:colOff>266700</xdr:colOff>
          <xdr:row>28</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27</xdr:row>
          <xdr:rowOff>25400</xdr:rowOff>
        </xdr:from>
        <xdr:to>
          <xdr:col>9</xdr:col>
          <xdr:colOff>431800</xdr:colOff>
          <xdr:row>28</xdr:row>
          <xdr:rowOff>184150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Clear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368300</xdr:colOff>
          <xdr:row>18</xdr:row>
          <xdr:rowOff>6350</xdr:rowOff>
        </xdr:from>
        <xdr:to>
          <xdr:col>7</xdr:col>
          <xdr:colOff>406400</xdr:colOff>
          <xdr:row>19</xdr:row>
          <xdr:rowOff>184150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615950</xdr:colOff>
          <xdr:row>18</xdr:row>
          <xdr:rowOff>6350</xdr:rowOff>
        </xdr:from>
        <xdr:to>
          <xdr:col>9</xdr:col>
          <xdr:colOff>654050</xdr:colOff>
          <xdr:row>19</xdr:row>
          <xdr:rowOff>177800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15efd31a75116422/Documents/UCF%20Masters/22-49/CalibrationTool_Tool2Sample.xlsm" TargetMode="External"/><Relationship Id="rId1" Type="http://schemas.openxmlformats.org/officeDocument/2006/relationships/externalLinkPath" Target="/Users/spych/OneDrive/Documents/UCF%20Masters/22-49/CalibrationTool_Tool2Sample.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15efd31a75116422/Documents/UCF%20Masters/22-49/22-49%20Spreadsheet%20Tool.xlsm" TargetMode="External"/><Relationship Id="rId1" Type="http://schemas.openxmlformats.org/officeDocument/2006/relationships/externalLinkPath" Target="/Users/spych/OneDrive/Documents/UCF%20Masters/22-49/22-49%20Spreadsheet%20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Project Information"/>
      <sheetName val="Report"/>
      <sheetName val="Rural 2-Lane Site Total"/>
      <sheetName val="Multi-Year Summary"/>
      <sheetName val="Multi-Year Analysis Report"/>
      <sheetName val="Multi-Year Template"/>
      <sheetName val="Segment Template"/>
      <sheetName val="Intersection Template"/>
      <sheetName val="Segment Tables"/>
      <sheetName val="Intersection Tables"/>
      <sheetName val="Construction - Do Not Dele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4">
          <cell r="B4">
            <v>9</v>
          </cell>
          <cell r="D4">
            <v>0</v>
          </cell>
          <cell r="F4">
            <v>1</v>
          </cell>
        </row>
        <row r="5">
          <cell r="B5">
            <v>9.5</v>
          </cell>
          <cell r="D5">
            <v>1</v>
          </cell>
          <cell r="F5">
            <v>2</v>
          </cell>
        </row>
        <row r="6">
          <cell r="B6">
            <v>10</v>
          </cell>
          <cell r="D6">
            <v>2</v>
          </cell>
          <cell r="F6">
            <v>3</v>
          </cell>
        </row>
        <row r="7">
          <cell r="B7">
            <v>10.5</v>
          </cell>
          <cell r="D7">
            <v>3</v>
          </cell>
          <cell r="F7">
            <v>4</v>
          </cell>
        </row>
        <row r="8">
          <cell r="B8">
            <v>11</v>
          </cell>
          <cell r="D8">
            <v>4</v>
          </cell>
          <cell r="F8">
            <v>5</v>
          </cell>
        </row>
        <row r="9">
          <cell r="B9">
            <v>11.5</v>
          </cell>
          <cell r="D9">
            <v>5</v>
          </cell>
          <cell r="F9">
            <v>6</v>
          </cell>
        </row>
        <row r="10">
          <cell r="B10">
            <v>12</v>
          </cell>
          <cell r="D10">
            <v>6</v>
          </cell>
          <cell r="F10">
            <v>7</v>
          </cell>
        </row>
        <row r="11">
          <cell r="D11">
            <v>7</v>
          </cell>
        </row>
        <row r="12">
          <cell r="D12">
            <v>8</v>
          </cell>
        </row>
        <row r="16">
          <cell r="L16" t="str">
            <v>Yes</v>
          </cell>
        </row>
        <row r="17">
          <cell r="D17" t="str">
            <v>Paved</v>
          </cell>
          <cell r="F17" t="str">
            <v>Not Present</v>
          </cell>
          <cell r="H17" t="str">
            <v>Not Present</v>
          </cell>
          <cell r="J17" t="str">
            <v>Not Present</v>
          </cell>
          <cell r="L17" t="str">
            <v>No</v>
          </cell>
        </row>
        <row r="18">
          <cell r="D18" t="str">
            <v>Gravel</v>
          </cell>
          <cell r="F18" t="str">
            <v>Present</v>
          </cell>
          <cell r="H18" t="str">
            <v>Present</v>
          </cell>
          <cell r="J18" t="str">
            <v>Present (1 lane)</v>
          </cell>
        </row>
        <row r="19">
          <cell r="D19" t="str">
            <v>Composite</v>
          </cell>
          <cell r="F19" t="str">
            <v>One End Only</v>
          </cell>
          <cell r="J19" t="str">
            <v>Present (2 lanes)</v>
          </cell>
        </row>
        <row r="20">
          <cell r="D20" t="str">
            <v>Turf</v>
          </cell>
        </row>
        <row r="23">
          <cell r="F23" t="str">
            <v>Not Present</v>
          </cell>
          <cell r="H23" t="str">
            <v>Not Present</v>
          </cell>
          <cell r="J23" t="str">
            <v>Not Present</v>
          </cell>
        </row>
        <row r="24">
          <cell r="F24" t="str">
            <v>Present</v>
          </cell>
          <cell r="H24" t="str">
            <v>Present</v>
          </cell>
          <cell r="J24" t="str">
            <v>Present</v>
          </cell>
        </row>
        <row r="29">
          <cell r="J29" t="str">
            <v>Not Present</v>
          </cell>
        </row>
        <row r="30">
          <cell r="J30" t="str">
            <v>Present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fine Variables"/>
      <sheetName val="Defined SPF"/>
      <sheetName val="ImportedData"/>
      <sheetName val="Calibration Factors"/>
      <sheetName val="Cure Plots"/>
      <sheetName val="TempTable"/>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4AEC6-00A6-4BF1-A3F0-5F3576D01120}" name="SegData" displayName="SegData" ref="A1:AX2" insertRow="1" totalsRowShown="0">
  <autoFilter ref="A1:AX2" xr:uid="{7554AEC6-00A6-4BF1-A3F0-5F3576D0112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54C7927-2F1B-4D05-B51A-23DAA5CCDAE5}" name="S_No"/>
    <tableColumn id="2" xr3:uid="{B5FA8966-1D2C-4883-AD51-1A71DC453D9F}" name="StateID"/>
    <tableColumn id="3" xr3:uid="{A4E7949E-6240-4EDD-90A8-DB921FC12EE7}" name="Seg_Length"/>
    <tableColumn id="4" xr3:uid="{341197EF-0D98-487C-8364-03374BBD221B}" name="AADT"/>
    <tableColumn id="5" xr3:uid="{9E4BF943-A51E-496A-AEEF-846A34723EDF}" name="%Truck"/>
    <tableColumn id="6" xr3:uid="{000C327B-079F-4BCC-8990-3843C762D311}" name="%SUT"/>
    <tableColumn id="7" xr3:uid="{419211F3-31F0-4545-BE57-8D42A8939267}" name="LW"/>
    <tableColumn id="8" xr3:uid="{D1B08865-C071-4435-8681-D2E0F3E32ACC}" name="OSW"/>
    <tableColumn id="9" xr3:uid="{D34FF055-62E4-47D3-A832-3A028294E059}" name="ISW"/>
    <tableColumn id="10" xr3:uid="{7F8A33A5-0520-4254-B9B5-2D5F02A2CD87}" name="ST"/>
    <tableColumn id="38" xr3:uid="{C1DF4517-37E0-4F28-ABEC-9474CB18F63E}" name="MW"/>
    <tableColumn id="11" xr3:uid="{3EBE0F72-48FA-4827-B1FF-4F071B87DF2B}" name="SL"/>
    <tableColumn id="12" xr3:uid="{574DB2D0-89F5-4DDB-BFA0-2CFCA5349678}" name="HTZ"/>
    <tableColumn id="13" xr3:uid="{DB150000-0A43-4803-8385-A7BE8F45350A}" name="Year"/>
    <tableColumn id="14" xr3:uid="{2FD7B9A8-61EE-44CC-9C3D-C144F8A24642}" name="K"/>
    <tableColumn id="15" xr3:uid="{A015D676-7E77-44C3-B60A-A6F577F52273}" name="A"/>
    <tableColumn id="16" xr3:uid="{02132EF8-211B-4E28-8757-8F0162D66786}" name="B"/>
    <tableColumn id="17" xr3:uid="{A521A501-0F9F-47B5-BBD2-149564B2B1A5}" name="C"/>
    <tableColumn id="18" xr3:uid="{B31FDB57-154F-4C58-BE61-75F685836EDA}" name="O"/>
    <tableColumn id="19" xr3:uid="{79672CE4-E016-48E2-93A9-13140C8C7718}" name="K_CF"/>
    <tableColumn id="20" xr3:uid="{9D187F51-69EB-42ED-A78A-BA12EC1506AA}" name="A_CF"/>
    <tableColumn id="21" xr3:uid="{E7455123-4E74-42D0-B768-327EF2DC1170}" name="B_CF"/>
    <tableColumn id="22" xr3:uid="{074F32BF-A26C-417E-9908-3E4B3B756EE7}" name="C_CF"/>
    <tableColumn id="23" xr3:uid="{F88FFCEF-01CF-4EDF-AD56-9893456049B5}" name="O_CF"/>
    <tableColumn id="24" xr3:uid="{E66B0BA8-61E8-4205-9A63-8FC50034444E}" name="Model"/>
    <tableColumn id="51" xr3:uid="{65C38E81-D6D8-4894-99D6-8B71C6DB35CB}" name="Prop_TruckAADT"/>
    <tableColumn id="26" xr3:uid="{2A58606C-9B49-437D-A24F-57CD9628238F}" name="Truck_AADT"/>
    <tableColumn id="27" xr3:uid="{7FAFCA5D-509E-459F-9DBA-1C583BB9C7E9}" name="LnSegL"/>
    <tableColumn id="28" xr3:uid="{6DC856C6-4477-4B57-BA81-D5DC947E8709}" name="LnAADT"/>
    <tableColumn id="29" xr3:uid="{3492E943-8E30-44CF-ADA1-5E40517E44BE}" name="Ln_TruckAADT"/>
    <tableColumn id="30" xr3:uid="{BC28886D-BDE3-49B5-AB42-B7F2D651EE2B}" name="Ln_Year"/>
    <tableColumn id="31" xr3:uid="{87F98632-EB8C-4935-B5ED-BD6AC76C8B18}" name="St_CA"/>
    <tableColumn id="32" xr3:uid="{A6B4699C-01EC-4EBF-A212-76BB0C93F889}" name="St_CT"/>
    <tableColumn id="33" xr3:uid="{814B2818-4955-485F-98CF-DFA70AF7AAA2}" name="St_FL"/>
    <tableColumn id="34" xr3:uid="{4733C5D3-0FC0-41B1-98D1-F778D1388FD9}" name="St_IL"/>
    <tableColumn id="35" xr3:uid="{32FDB69F-2193-40E1-9451-4973BB482FFF}" name="St_MN"/>
    <tableColumn id="36" xr3:uid="{4436CF3F-9EF3-46EC-9504-CC998239E6A6}" name="St_TX"/>
    <tableColumn id="37" xr3:uid="{B80BF57B-1D0E-446B-94D6-99619F1F3615}" name="St_WA"/>
    <tableColumn id="39" xr3:uid="{9F4E18B9-1FD3-4EBB-996F-95044BB6F138}" name="Pred_Tot" dataDxfId="23"/>
    <tableColumn id="40" xr3:uid="{33ED92FB-D4F6-4657-A66D-46E38E07D87B}" name="Pred_O" dataDxfId="22"/>
    <tableColumn id="41" xr3:uid="{347CED88-F637-4315-846E-640F784C66DF}" name="Pred_C" dataDxfId="21"/>
    <tableColumn id="42" xr3:uid="{7F49B1A8-58BD-4419-B6DA-3C8DFF0683AC}" name="Pred_B" dataDxfId="20"/>
    <tableColumn id="43" xr3:uid="{6D974912-CD72-4C07-8B65-4EA3A8F457C9}" name="Pred_A" dataDxfId="19"/>
    <tableColumn id="44" xr3:uid="{CF40CD68-669E-4F11-AF9F-E44DF9A09DE9}" name="Pred_K" dataDxfId="18"/>
    <tableColumn id="45" xr3:uid="{C19E555E-CDB1-4A48-B936-4912F752ED01}" name="Calib_Tot" dataDxfId="17"/>
    <tableColumn id="46" xr3:uid="{74D42108-6F94-4779-A920-25B9438D0413}" name="Calib_O" dataDxfId="16"/>
    <tableColumn id="47" xr3:uid="{098FE16D-2096-4050-974B-29CF82A8B565}" name="Calib_C" dataDxfId="15"/>
    <tableColumn id="48" xr3:uid="{8C277965-A88F-42DD-A94D-F9D136AEC924}" name="Calib_B"/>
    <tableColumn id="49" xr3:uid="{E2BC08E1-EA50-433E-91FB-9AF54F6A1686}" name="Calib_A" dataDxfId="14"/>
    <tableColumn id="50" xr3:uid="{F2479815-5F8B-4EF3-A394-E9E1298288E2}" name="Calib_K"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815EBB-FC0E-455D-96FA-8FF1C6F74789}" name="IntData" displayName="IntData" ref="A1:AP2" insertRow="1" totalsRowShown="0">
  <autoFilter ref="A1:AP2" xr:uid="{5A815EBB-FC0E-455D-96FA-8FF1C6F7478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autoFilter>
  <tableColumns count="42">
    <tableColumn id="1" xr3:uid="{CED282CB-D0BF-47CC-9AEE-E2F9CA9E20BD}" name="S_No"/>
    <tableColumn id="2" xr3:uid="{C1C26334-0151-4223-A05E-DF88AF4D9DC7}" name="StateIDNo"/>
    <tableColumn id="3" xr3:uid="{04E4552E-8398-421A-AAF9-2EAD0537BC36}" name="MajAADT"/>
    <tableColumn id="4" xr3:uid="{473CB148-C5F9-48F6-9563-8A3E79338C74}" name="MinAADT"/>
    <tableColumn id="22" xr3:uid="{5D506AA8-21C0-4060-8992-ED9E913E43DE}" name="%MajTruck"/>
    <tableColumn id="23" xr3:uid="{E1F59B5C-CB6A-4CB9-8BE3-2CFFE3479E0F}" name="%MinTruck"/>
    <tableColumn id="11" xr3:uid="{21D09086-3B3B-44E2-A8F8-9E24818DE978}" name="MajLane"/>
    <tableColumn id="12" xr3:uid="{D3948872-85DB-4A33-A0D6-BE58F9294505}" name="MinLane"/>
    <tableColumn id="10" xr3:uid="{957E8595-C8CE-494B-AECB-8F2C7C470C89}" name="Light"/>
    <tableColumn id="13" xr3:uid="{69329C31-A027-4740-89CB-CFF6C5604855}" name="MajSL"/>
    <tableColumn id="19" xr3:uid="{C09436F1-4900-4ED3-B179-3A0EFA2CE3B8}" name="HTZ"/>
    <tableColumn id="24" xr3:uid="{265105AC-8B10-496F-8093-4D38F08E303E}" name="Year"/>
    <tableColumn id="42" xr3:uid="{B3B80DCC-5C75-4468-9678-2AC88AE9021F}" name="K_CF"/>
    <tableColumn id="43" xr3:uid="{54E5B2EC-2532-45DF-8739-4A092A5389AA}" name="A_CF"/>
    <tableColumn id="44" xr3:uid="{8069A0FA-CA6E-455F-A51B-71A7EEF64523}" name="B_CF"/>
    <tableColumn id="45" xr3:uid="{256E8AB8-7F2A-4517-A3AE-75EC8FF465AC}" name="C_CF"/>
    <tableColumn id="46" xr3:uid="{7C8E6514-A5ED-4E07-9321-0D3EF18E7CBA}" name="O_CF"/>
    <tableColumn id="47" xr3:uid="{237A8FA0-B48D-44E1-AAD3-2B5429E23824}" name="Model"/>
    <tableColumn id="20" xr3:uid="{D1877E18-CFA8-4D27-A804-2F5E0DCCEFC7}" name="MajTruckAADT"/>
    <tableColumn id="21" xr3:uid="{DB8EF0FF-56F5-44E8-A4CA-B8DD3038B272}" name="MinTruckAADT"/>
    <tableColumn id="5" xr3:uid="{88A7A08C-CAF2-41C5-A2FF-4D431CEA8BC5}" name="Truck_aadt"/>
    <tableColumn id="9" xr3:uid="{288CF685-9D4F-4D62-B24F-354545CDFA65}" name="%Truck"/>
    <tableColumn id="6" xr3:uid="{6D3C6344-55C1-43B7-A79B-825E88433F59}" name="Ln(MajAADT)"/>
    <tableColumn id="7" xr3:uid="{B8C43037-FBF8-4C9E-B3FE-678CA68965C4}" name="Ln(MinAADT)"/>
    <tableColumn id="8" xr3:uid="{AEEEC40B-2103-4D62-B962-B7070F31B8C5}" name="Ln_TruckAADT"/>
    <tableColumn id="14" xr3:uid="{B3F60240-50D7-4313-B620-3DCAC72B0169}" name="Ln_Year"/>
    <tableColumn id="15" xr3:uid="{BAF66D5F-C826-4A9A-8A05-1EB8E597B3AA}" name="St_CA"/>
    <tableColumn id="16" xr3:uid="{C8B81614-A2FB-454B-9875-F1FC3D5A4999}" name="St_CT"/>
    <tableColumn id="17" xr3:uid="{82FF7806-48F2-424F-9847-ED5E4D8E540A}" name="St_FL"/>
    <tableColumn id="18" xr3:uid="{A5742A47-6D3C-4233-A4C4-6081806AEA6B}" name="St_MN"/>
    <tableColumn id="25" xr3:uid="{43227942-671C-4370-AC7E-9A3148D88D47}" name="Pred_Tot" dataDxfId="10">
      <calculatedColumnFormula>SUM(AF2:AJ2)</calculatedColumnFormula>
    </tableColumn>
    <tableColumn id="26" xr3:uid="{1A974005-8601-4224-9EDC-C13ADFD3820B}" name="Pred_O" dataDxfId="9">
      <calculatedColumnFormula>ROUND(IntData[[#This Row],[Year]]*EXP(-8.619-3.101*IntData[[#This Row],[St_CA]]-0.887*IntData[[#This Row],[St_CT]]-1.647*IntData[[#This Row],[St_MN]]+0.625*LN(IntData[[#This Row],[MajAADT]])+0.525*LN(IntData[[#This Row],[MinAADT]])+0.021*IntData[[#This Row],[%MajTruck]]-0.226*IntData[[#This Row],[Light]]-0.164*(IF(IntData[[#This Row],[MajSL]]&lt;=25,1,0))+0.412*(IF(IntData[[#This Row],[MajSL]]&gt;55,1,0))*IntData[[#This Row],[HTZ]]+0.269*IntData[[#This Row],[Light]]*IntData[[#This Row],[HTZ]]+0.5*0.859),3)</calculatedColumnFormula>
    </tableColumn>
    <tableColumn id="27" xr3:uid="{F3133952-1654-4862-A8EA-C751FF818C4D}" name="Pred_C" dataDxfId="8">
      <calculatedColumnFormula>ROUND(IntData[[#This Row],[Year]]*EXP(-8.784-2.455*IntData[[#This Row],[St_CA]]-1.167*IntData[[#This Row],[St_CT]]-1.301*IntData[[#This Row],[St_MN]]+0.571*LN(IntData[[#This Row],[MajAADT]])+0.432*LN(IntData[[#This Row],[MinAADT]])-0.259*IF(IntData[[#This Row],[MajSL]]&lt;=25,1,0)-0.133*IF(IntData[[#This Row],[MajSL]]&gt;25,IF(IntData[[#This Row],[MajSL]]&lt;=40,1,0),0)+0.5*0.839),3)</calculatedColumnFormula>
    </tableColumn>
    <tableColumn id="28" xr3:uid="{4DADDFE8-2977-4698-AEB5-B00973867310}" name="Pred_B" dataDxfId="7">
      <calculatedColumnFormula>ROUND(IntData[[#This Row],[Year]]*EXP(-7.755 -2.59*IntData[[#This Row],[St_CA]]-0.762*IntData[[#This Row],[St_CT]]-1.625*IntData[[#This Row],[St_MN]]+0.441*LN(IntData[[#This Row],[MajAADT]])+0.389*LN(IntData[[#This Row],[MinAADT]])+0.026*(LN(IntData[[#This Row],[MinAADT]]))*(IF(IntData[[#This Row],[MinAADT]]&gt;20000,1,0))-0.084*IntData[[#This Row],[%MinTruck]]-0.304*IF(IntData[[#This Row],[MajSL]]&lt;=25,1,0)-0.238*IF(IntData[[#This Row],[MajSL]]&gt;25,IF(IntData[[#This Row],[MajSL]]&lt;=40,1,0),0)+0.535*(IF(IntData[[#This Row],[MajSL]]&gt;55,1,0))*IntData[[#This Row],[HTZ]]+0.5*0.766),3)</calculatedColumnFormula>
    </tableColumn>
    <tableColumn id="29" xr3:uid="{26E77C01-8113-415F-B4D8-15879B28A4E2}" name="Pred_A" dataDxfId="6">
      <calculatedColumnFormula>ROUND(IntData[[#This Row],[Year]]*EXP(-8.962-2.744*IntData[[#This Row],[St_CA]]-1.954*IntData[[#This Row],[St_CT]]-1.995*IntData[[#This Row],[St_MN]]+0.436*LN(IntData[[#This Row],[MajAADT]])+0.39*LN(IntData[[#This Row],[MinAADT]])-0.078*IntData[[#This Row],[%MinTruck]]-0.473*IF(IntData[[#This Row],[MajSL]]&lt;=25,1,0)-0.373*IF(IntData[[#This Row],[MajSL]]&gt;25,IF(IntData[[#This Row],[MajSL]]&lt;=40,1,0),0)+0.5*1.172),3)</calculatedColumnFormula>
    </tableColumn>
    <tableColumn id="30" xr3:uid="{B1D8CEF9-4195-4AB3-89EB-8897DF5833B7}" name="Pred_K" dataDxfId="5">
      <calculatedColumnFormula>ROUND(IntData[[#This Row],[Year]]*EXP(-12.616+0.574*LN(IntData[[#This Row],[MajAADT]])+0.345*LN(IntData[[#This Row],[MinAADT]])+0.07*(LN(IntData[[#This Row],[MinAADT]]))*(IF(IntData[[#This Row],[MinAADT]]&gt;20000,1,0))-0.782*IntData[[#This Row],[Light]]+0.61*IntData[[#This Row],[HTZ]]-0.758*IF(IntData[[#This Row],[MajSL]]&lt;=25,1,0)-0.736*IF(IntData[[#This Row],[MajSL]]&gt;25,IF(IntData[[#This Row],[MajSL]]&lt;=40,1,0),0)+0.5*0.682),3)</calculatedColumnFormula>
    </tableColumn>
    <tableColumn id="31" xr3:uid="{A45AA495-ABB6-4244-8121-36EDF9AB81BA}" name="Calib_Tot" dataDxfId="4">
      <calculatedColumnFormula>SUM(AL2:AP2)</calculatedColumnFormula>
    </tableColumn>
    <tableColumn id="32" xr3:uid="{5DFC71E2-2978-4270-8612-84CD777E5949}" name="Calib_O" dataDxfId="3">
      <calculatedColumnFormula>ROUND(IntData[[#This Row],[Pred_O]]*1,3)</calculatedColumnFormula>
    </tableColumn>
    <tableColumn id="33" xr3:uid="{E0BAB9FD-5843-4E4D-877D-CA3B8C931287}" name="Calib_C" dataDxfId="2">
      <calculatedColumnFormula>ROUND(IntData[[#This Row],[Pred_C]]*1,3)</calculatedColumnFormula>
    </tableColumn>
    <tableColumn id="34" xr3:uid="{B5B36D0A-B1DC-4462-943C-2CBFECE75A7E}" name="Calib_B" dataDxfId="1">
      <calculatedColumnFormula>ROUND(IntData[[#This Row],[Pred_B]]*1,3)</calculatedColumnFormula>
    </tableColumn>
    <tableColumn id="35" xr3:uid="{6C0EAACB-A053-4D7E-BEC6-6464DEF314C6}" name="Calib_A">
      <calculatedColumnFormula>ROUND(IntData[[#This Row],[Pred_A]]*1,3)</calculatedColumnFormula>
    </tableColumn>
    <tableColumn id="36" xr3:uid="{2D63BD01-3E23-4338-923A-D567D5700380}" name="Calib_K" dataDxfId="0">
      <calculatedColumnFormula>ROUND(IntData[[#This Row],[Pred_K]]*1,3)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mailto:naveen.eluru@ucf.edu"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6C84-C52D-4457-BD48-31E619EE2A7B}">
  <sheetPr codeName="Sheet9"/>
  <dimension ref="A1:AM33"/>
  <sheetViews>
    <sheetView topLeftCell="B4" zoomScale="70" zoomScaleNormal="70" workbookViewId="0">
      <selection activeCell="B28" sqref="B28"/>
    </sheetView>
  </sheetViews>
  <sheetFormatPr defaultRowHeight="15.5" x14ac:dyDescent="0.35"/>
  <cols>
    <col min="1" max="1" width="3.08203125" bestFit="1" customWidth="1"/>
    <col min="2" max="2" width="33.4140625" bestFit="1" customWidth="1"/>
    <col min="3" max="3" width="8.33203125" customWidth="1"/>
    <col min="4" max="4" width="17.6640625" customWidth="1"/>
    <col min="5" max="5" width="19.1640625" customWidth="1"/>
    <col min="6" max="6" width="15" customWidth="1"/>
    <col min="7" max="8" width="15.08203125" customWidth="1"/>
    <col min="9" max="9" width="11.6640625" customWidth="1"/>
    <col min="10" max="10" width="5" bestFit="1" customWidth="1"/>
    <col min="11" max="12" width="6" bestFit="1" customWidth="1"/>
    <col min="13" max="13" width="12.9140625" customWidth="1"/>
    <col min="14" max="14" width="4.08203125" bestFit="1" customWidth="1"/>
    <col min="15" max="15" width="6" bestFit="1" customWidth="1"/>
    <col min="16" max="16" width="4.08203125" bestFit="1" customWidth="1"/>
    <col min="17" max="17" width="6" bestFit="1" customWidth="1"/>
    <col min="18" max="18" width="4.08203125" bestFit="1" customWidth="1"/>
    <col min="19" max="19" width="4.5" bestFit="1" customWidth="1"/>
    <col min="20" max="20" width="4.08203125" bestFit="1" customWidth="1"/>
    <col min="21" max="21" width="6" customWidth="1"/>
    <col min="22" max="22" width="4.08203125" bestFit="1" customWidth="1"/>
    <col min="23" max="23" width="6" customWidth="1"/>
    <col min="24" max="24" width="4.08203125" bestFit="1" customWidth="1"/>
    <col min="25" max="25" width="4.5" bestFit="1" customWidth="1"/>
    <col min="26" max="26" width="4.08203125" bestFit="1" customWidth="1"/>
    <col min="27" max="27" width="4.5" bestFit="1" customWidth="1"/>
    <col min="28" max="28" width="7.1640625" customWidth="1"/>
    <col min="29" max="29" width="10.83203125" customWidth="1"/>
    <col min="30" max="30" width="4.08203125" bestFit="1" customWidth="1"/>
    <col min="31" max="31" width="7.4140625" customWidth="1"/>
    <col min="32" max="32" width="3.58203125" customWidth="1"/>
    <col min="33" max="33" width="6" customWidth="1"/>
    <col min="34" max="34" width="4.08203125" bestFit="1" customWidth="1"/>
    <col min="35" max="35" width="6" customWidth="1"/>
    <col min="36" max="36" width="4.08203125" bestFit="1" customWidth="1"/>
    <col min="37" max="37" width="4.5" customWidth="1"/>
    <col min="38" max="38" width="4.08203125" bestFit="1" customWidth="1"/>
    <col min="39" max="39" width="4.5" customWidth="1"/>
  </cols>
  <sheetData>
    <row r="1" spans="1:39" x14ac:dyDescent="0.35">
      <c r="A1" t="s">
        <v>52</v>
      </c>
      <c r="B1" t="s">
        <v>53</v>
      </c>
      <c r="C1" t="s">
        <v>54</v>
      </c>
      <c r="D1" t="s">
        <v>55</v>
      </c>
      <c r="E1" t="s">
        <v>56</v>
      </c>
      <c r="F1" t="s">
        <v>57</v>
      </c>
      <c r="G1" t="s">
        <v>58</v>
      </c>
      <c r="H1" t="s">
        <v>59</v>
      </c>
      <c r="I1" t="s">
        <v>60</v>
      </c>
      <c r="J1" s="21" t="s">
        <v>122</v>
      </c>
      <c r="K1" s="21"/>
      <c r="L1" s="21" t="s">
        <v>13</v>
      </c>
      <c r="M1" s="21"/>
      <c r="N1" s="21" t="s">
        <v>18</v>
      </c>
      <c r="O1" s="21"/>
      <c r="P1" s="21" t="s">
        <v>19</v>
      </c>
      <c r="Q1" s="21"/>
      <c r="R1" s="21" t="s">
        <v>133</v>
      </c>
      <c r="S1" s="21"/>
      <c r="T1" s="21" t="s">
        <v>127</v>
      </c>
      <c r="U1" s="21"/>
      <c r="V1" s="21" t="s">
        <v>128</v>
      </c>
      <c r="W1" s="21"/>
      <c r="X1" s="21" t="s">
        <v>129</v>
      </c>
      <c r="Y1" s="21"/>
      <c r="Z1" s="21" t="s">
        <v>130</v>
      </c>
      <c r="AA1" s="21"/>
      <c r="AB1" s="21" t="s">
        <v>123</v>
      </c>
      <c r="AC1" s="21"/>
      <c r="AD1" s="21" t="s">
        <v>124</v>
      </c>
      <c r="AE1" s="21"/>
      <c r="AF1" s="21" t="s">
        <v>125</v>
      </c>
      <c r="AG1" s="21"/>
      <c r="AH1" s="21" t="s">
        <v>126</v>
      </c>
      <c r="AI1" s="21"/>
      <c r="AJ1" s="21" t="s">
        <v>131</v>
      </c>
      <c r="AK1" s="21"/>
      <c r="AL1" s="21" t="s">
        <v>132</v>
      </c>
      <c r="AM1" s="21"/>
    </row>
    <row r="2" spans="1:39" x14ac:dyDescent="0.35">
      <c r="C2" s="11" t="s">
        <v>61</v>
      </c>
      <c r="D2" s="11" t="s">
        <v>62</v>
      </c>
      <c r="E2" s="11" t="s">
        <v>63</v>
      </c>
      <c r="F2" s="11"/>
      <c r="G2" s="11"/>
      <c r="H2" s="11"/>
      <c r="I2" s="11"/>
      <c r="J2" t="s">
        <v>120</v>
      </c>
      <c r="K2" t="s">
        <v>121</v>
      </c>
      <c r="L2" t="s">
        <v>120</v>
      </c>
      <c r="M2" t="s">
        <v>121</v>
      </c>
      <c r="N2" t="s">
        <v>120</v>
      </c>
      <c r="O2" t="s">
        <v>121</v>
      </c>
      <c r="P2" t="s">
        <v>120</v>
      </c>
      <c r="Q2" t="s">
        <v>121</v>
      </c>
      <c r="R2" t="s">
        <v>120</v>
      </c>
      <c r="S2" t="s">
        <v>121</v>
      </c>
      <c r="T2" t="s">
        <v>120</v>
      </c>
      <c r="U2" t="s">
        <v>121</v>
      </c>
      <c r="V2" t="s">
        <v>120</v>
      </c>
      <c r="W2" t="s">
        <v>121</v>
      </c>
      <c r="X2" t="s">
        <v>120</v>
      </c>
      <c r="Y2" t="s">
        <v>121</v>
      </c>
      <c r="Z2" t="s">
        <v>120</v>
      </c>
      <c r="AA2" t="s">
        <v>121</v>
      </c>
      <c r="AB2" t="s">
        <v>120</v>
      </c>
      <c r="AC2" t="s">
        <v>121</v>
      </c>
      <c r="AD2" t="s">
        <v>120</v>
      </c>
      <c r="AE2" t="s">
        <v>121</v>
      </c>
      <c r="AF2" t="s">
        <v>120</v>
      </c>
      <c r="AG2" t="s">
        <v>121</v>
      </c>
      <c r="AH2" t="s">
        <v>120</v>
      </c>
      <c r="AI2" t="s">
        <v>121</v>
      </c>
      <c r="AJ2" t="s">
        <v>120</v>
      </c>
      <c r="AK2" t="s">
        <v>121</v>
      </c>
      <c r="AL2" t="s">
        <v>120</v>
      </c>
      <c r="AM2" t="s">
        <v>121</v>
      </c>
    </row>
    <row r="3" spans="1:39" x14ac:dyDescent="0.35">
      <c r="C3" s="11" t="s">
        <v>64</v>
      </c>
      <c r="D3" s="11" t="s">
        <v>65</v>
      </c>
      <c r="E3" s="11" t="s">
        <v>66</v>
      </c>
      <c r="F3" s="11" t="s">
        <v>67</v>
      </c>
      <c r="G3" s="11" t="s">
        <v>68</v>
      </c>
      <c r="H3" s="11" t="s">
        <v>69</v>
      </c>
      <c r="I3" s="11" t="s">
        <v>70</v>
      </c>
    </row>
    <row r="4" spans="1:39" x14ac:dyDescent="0.35">
      <c r="C4" s="11" t="s">
        <v>71</v>
      </c>
      <c r="D4" s="11" t="s">
        <v>72</v>
      </c>
      <c r="E4" s="11" t="s">
        <v>73</v>
      </c>
      <c r="F4" s="11" t="s">
        <v>74</v>
      </c>
      <c r="G4" s="11" t="s">
        <v>75</v>
      </c>
      <c r="H4" s="11" t="s">
        <v>76</v>
      </c>
      <c r="I4" s="11"/>
    </row>
    <row r="5" spans="1:39" x14ac:dyDescent="0.35">
      <c r="A5">
        <v>1</v>
      </c>
      <c r="B5" t="s">
        <v>100</v>
      </c>
      <c r="C5" s="15" t="s">
        <v>64</v>
      </c>
      <c r="D5" s="15" t="s">
        <v>134</v>
      </c>
      <c r="E5" s="15" t="s">
        <v>135</v>
      </c>
      <c r="F5" s="16">
        <v>0.32700000000000001</v>
      </c>
      <c r="G5" s="16">
        <v>0.91400000000000003</v>
      </c>
      <c r="H5" s="16">
        <v>1.5669999999999999</v>
      </c>
      <c r="I5" s="16">
        <v>2.1139999999999999</v>
      </c>
      <c r="J5">
        <v>0.01</v>
      </c>
      <c r="K5">
        <v>5.85</v>
      </c>
      <c r="L5">
        <v>50</v>
      </c>
      <c r="M5">
        <v>316892</v>
      </c>
      <c r="N5">
        <v>0</v>
      </c>
      <c r="O5">
        <v>96.3</v>
      </c>
      <c r="P5">
        <v>0</v>
      </c>
      <c r="Q5">
        <v>26.57</v>
      </c>
      <c r="R5">
        <v>8</v>
      </c>
      <c r="S5">
        <v>32</v>
      </c>
      <c r="T5">
        <v>0</v>
      </c>
      <c r="U5">
        <v>50</v>
      </c>
      <c r="V5">
        <v>0</v>
      </c>
      <c r="W5">
        <v>50</v>
      </c>
      <c r="X5">
        <v>0</v>
      </c>
      <c r="Y5">
        <v>500</v>
      </c>
      <c r="Z5">
        <v>25</v>
      </c>
      <c r="AA5">
        <v>90</v>
      </c>
    </row>
    <row r="6" spans="1:39" x14ac:dyDescent="0.35">
      <c r="A6">
        <v>2</v>
      </c>
      <c r="B6" t="s">
        <v>101</v>
      </c>
      <c r="C6" t="s">
        <v>61</v>
      </c>
      <c r="D6" t="s">
        <v>136</v>
      </c>
      <c r="E6" t="s">
        <v>137</v>
      </c>
      <c r="F6" s="16"/>
      <c r="G6" s="16"/>
      <c r="H6" s="16"/>
      <c r="I6" s="16"/>
      <c r="J6">
        <v>0.01</v>
      </c>
      <c r="K6">
        <v>9.99</v>
      </c>
      <c r="L6">
        <v>475</v>
      </c>
      <c r="M6">
        <v>350000</v>
      </c>
      <c r="N6">
        <v>0</v>
      </c>
      <c r="O6">
        <v>57.52</v>
      </c>
      <c r="P6">
        <v>0</v>
      </c>
      <c r="Q6">
        <v>18.71</v>
      </c>
      <c r="R6">
        <v>8</v>
      </c>
      <c r="S6">
        <v>32</v>
      </c>
      <c r="T6">
        <v>0</v>
      </c>
      <c r="U6">
        <v>50</v>
      </c>
      <c r="V6">
        <v>0</v>
      </c>
      <c r="W6">
        <v>50</v>
      </c>
      <c r="X6">
        <v>0</v>
      </c>
      <c r="Y6">
        <v>500</v>
      </c>
      <c r="Z6">
        <v>25</v>
      </c>
      <c r="AA6">
        <v>90</v>
      </c>
    </row>
    <row r="7" spans="1:39" x14ac:dyDescent="0.35">
      <c r="A7">
        <v>3</v>
      </c>
      <c r="B7" t="s">
        <v>102</v>
      </c>
      <c r="C7" t="s">
        <v>61</v>
      </c>
      <c r="D7" t="s">
        <v>138</v>
      </c>
      <c r="E7" t="s">
        <v>139</v>
      </c>
      <c r="F7" s="16"/>
      <c r="G7" s="16"/>
      <c r="H7" s="16"/>
      <c r="I7" s="16"/>
      <c r="J7">
        <v>0.01</v>
      </c>
      <c r="K7">
        <v>5.78</v>
      </c>
      <c r="L7">
        <v>325</v>
      </c>
      <c r="M7">
        <v>354000</v>
      </c>
      <c r="N7">
        <v>0</v>
      </c>
      <c r="O7">
        <v>32.92</v>
      </c>
      <c r="P7">
        <v>0</v>
      </c>
      <c r="Q7">
        <v>7.05</v>
      </c>
      <c r="R7">
        <v>8</v>
      </c>
      <c r="S7">
        <v>32</v>
      </c>
      <c r="T7">
        <v>0</v>
      </c>
      <c r="U7">
        <v>50</v>
      </c>
      <c r="V7">
        <v>0</v>
      </c>
      <c r="W7">
        <v>50</v>
      </c>
      <c r="X7">
        <v>0</v>
      </c>
      <c r="Y7">
        <v>500</v>
      </c>
      <c r="Z7">
        <v>25</v>
      </c>
      <c r="AA7">
        <v>90</v>
      </c>
    </row>
    <row r="8" spans="1:39" x14ac:dyDescent="0.35">
      <c r="A8">
        <v>4</v>
      </c>
      <c r="B8" t="s">
        <v>103</v>
      </c>
      <c r="C8" t="s">
        <v>61</v>
      </c>
      <c r="D8" t="s">
        <v>140</v>
      </c>
      <c r="E8" t="s">
        <v>141</v>
      </c>
      <c r="F8" s="16"/>
      <c r="G8" s="16"/>
      <c r="H8" s="16"/>
      <c r="I8" s="16"/>
      <c r="J8">
        <v>0.01</v>
      </c>
      <c r="K8">
        <v>2.27</v>
      </c>
      <c r="L8">
        <v>1900</v>
      </c>
      <c r="M8">
        <v>461000</v>
      </c>
      <c r="N8">
        <v>0</v>
      </c>
      <c r="O8">
        <v>26.6</v>
      </c>
      <c r="P8">
        <v>0</v>
      </c>
      <c r="Q8">
        <v>8.5</v>
      </c>
      <c r="R8">
        <v>8</v>
      </c>
      <c r="S8">
        <v>32</v>
      </c>
      <c r="T8">
        <v>0</v>
      </c>
      <c r="U8">
        <v>50</v>
      </c>
      <c r="V8">
        <v>0</v>
      </c>
      <c r="W8">
        <v>50</v>
      </c>
      <c r="X8">
        <v>0</v>
      </c>
      <c r="Y8">
        <v>500</v>
      </c>
      <c r="Z8">
        <v>25</v>
      </c>
      <c r="AA8">
        <v>90</v>
      </c>
    </row>
    <row r="9" spans="1:39" x14ac:dyDescent="0.35">
      <c r="A9">
        <v>5</v>
      </c>
      <c r="B9" t="s">
        <v>104</v>
      </c>
      <c r="C9" t="s">
        <v>61</v>
      </c>
      <c r="D9" t="s">
        <v>142</v>
      </c>
      <c r="E9" t="s">
        <v>143</v>
      </c>
      <c r="F9" s="16"/>
      <c r="G9" s="16"/>
      <c r="H9" s="16"/>
      <c r="I9" s="16"/>
      <c r="J9">
        <v>0.01</v>
      </c>
      <c r="K9">
        <v>11.88</v>
      </c>
      <c r="L9">
        <v>10</v>
      </c>
      <c r="M9">
        <v>129300</v>
      </c>
      <c r="N9">
        <v>0</v>
      </c>
      <c r="O9">
        <v>73.69</v>
      </c>
      <c r="P9">
        <v>0</v>
      </c>
      <c r="Q9">
        <v>13.92</v>
      </c>
      <c r="R9">
        <v>8</v>
      </c>
      <c r="S9">
        <v>32</v>
      </c>
      <c r="T9">
        <v>0</v>
      </c>
      <c r="U9">
        <v>50</v>
      </c>
      <c r="V9">
        <v>0</v>
      </c>
      <c r="W9">
        <v>50</v>
      </c>
      <c r="X9">
        <v>0</v>
      </c>
      <c r="Y9">
        <v>500</v>
      </c>
      <c r="Z9">
        <v>25</v>
      </c>
      <c r="AA9">
        <v>90</v>
      </c>
    </row>
    <row r="10" spans="1:39" x14ac:dyDescent="0.35">
      <c r="A10">
        <v>6</v>
      </c>
      <c r="B10" t="s">
        <v>105</v>
      </c>
      <c r="C10" t="s">
        <v>61</v>
      </c>
      <c r="D10" t="s">
        <v>144</v>
      </c>
      <c r="E10" t="s">
        <v>145</v>
      </c>
      <c r="F10" s="16"/>
      <c r="G10" s="16"/>
      <c r="H10" s="16"/>
      <c r="I10" s="16"/>
      <c r="J10">
        <v>0.01</v>
      </c>
      <c r="K10">
        <v>7.57</v>
      </c>
      <c r="L10">
        <v>800</v>
      </c>
      <c r="M10">
        <v>207000</v>
      </c>
      <c r="N10">
        <v>0</v>
      </c>
      <c r="O10">
        <v>83.33</v>
      </c>
      <c r="P10">
        <v>0</v>
      </c>
      <c r="Q10">
        <v>14.19</v>
      </c>
      <c r="R10">
        <v>8</v>
      </c>
      <c r="S10">
        <v>32</v>
      </c>
      <c r="T10">
        <v>0</v>
      </c>
      <c r="U10">
        <v>50</v>
      </c>
      <c r="V10">
        <v>0</v>
      </c>
      <c r="W10">
        <v>50</v>
      </c>
      <c r="X10">
        <v>0</v>
      </c>
      <c r="Y10">
        <v>500</v>
      </c>
      <c r="Z10">
        <v>25</v>
      </c>
      <c r="AA10">
        <v>90</v>
      </c>
    </row>
    <row r="11" spans="1:39" x14ac:dyDescent="0.35">
      <c r="A11">
        <v>7</v>
      </c>
      <c r="B11" t="s">
        <v>106</v>
      </c>
      <c r="C11" t="s">
        <v>61</v>
      </c>
      <c r="D11" t="s">
        <v>146</v>
      </c>
      <c r="E11" t="s">
        <v>147</v>
      </c>
      <c r="F11" s="16"/>
      <c r="G11" s="16"/>
      <c r="H11" s="16"/>
      <c r="I11" s="16"/>
      <c r="J11">
        <v>0.01</v>
      </c>
      <c r="K11">
        <v>2.54</v>
      </c>
      <c r="L11">
        <v>10001</v>
      </c>
      <c r="M11">
        <v>207000</v>
      </c>
      <c r="N11">
        <v>0</v>
      </c>
      <c r="O11">
        <v>24.3</v>
      </c>
      <c r="P11">
        <v>0</v>
      </c>
      <c r="Q11">
        <v>2.88</v>
      </c>
      <c r="R11">
        <v>8</v>
      </c>
      <c r="S11">
        <v>32</v>
      </c>
      <c r="T11">
        <v>0</v>
      </c>
      <c r="U11">
        <v>50</v>
      </c>
      <c r="V11">
        <v>0</v>
      </c>
      <c r="W11">
        <v>50</v>
      </c>
      <c r="X11">
        <v>0</v>
      </c>
      <c r="Y11">
        <v>500</v>
      </c>
      <c r="Z11">
        <v>25</v>
      </c>
      <c r="AA11">
        <v>90</v>
      </c>
    </row>
    <row r="12" spans="1:39" x14ac:dyDescent="0.35">
      <c r="A12">
        <v>8</v>
      </c>
      <c r="B12" s="12" t="s">
        <v>107</v>
      </c>
      <c r="C12" s="15" t="s">
        <v>64</v>
      </c>
      <c r="D12" s="15" t="s">
        <v>148</v>
      </c>
      <c r="E12" s="15" t="s">
        <v>149</v>
      </c>
      <c r="F12" s="15">
        <v>0.78900000000000003</v>
      </c>
      <c r="G12" s="15">
        <v>1.163</v>
      </c>
      <c r="H12" s="15">
        <v>1.673</v>
      </c>
      <c r="I12" s="15">
        <v>2.6110000000000002</v>
      </c>
      <c r="J12" s="12">
        <v>0.01</v>
      </c>
      <c r="K12" s="12">
        <v>10.81</v>
      </c>
      <c r="L12" s="12">
        <v>10</v>
      </c>
      <c r="M12" s="12">
        <v>291300</v>
      </c>
      <c r="N12" s="12">
        <v>0</v>
      </c>
      <c r="O12" s="12">
        <v>63.5</v>
      </c>
      <c r="P12" s="12">
        <v>0</v>
      </c>
      <c r="Q12" s="12">
        <v>28.7</v>
      </c>
      <c r="R12">
        <v>8</v>
      </c>
      <c r="S12">
        <v>30</v>
      </c>
      <c r="T12">
        <v>0</v>
      </c>
      <c r="U12">
        <v>0</v>
      </c>
      <c r="V12">
        <v>0</v>
      </c>
      <c r="W12">
        <v>30</v>
      </c>
      <c r="X12">
        <v>0</v>
      </c>
      <c r="Y12">
        <v>0</v>
      </c>
      <c r="Z12">
        <v>15</v>
      </c>
      <c r="AA12">
        <v>75</v>
      </c>
      <c r="AB12" s="12"/>
      <c r="AC12" s="12"/>
      <c r="AD12" s="12"/>
      <c r="AE12" s="12"/>
      <c r="AF12" s="12"/>
      <c r="AG12" s="12"/>
      <c r="AH12" s="12"/>
      <c r="AI12" s="12"/>
    </row>
    <row r="13" spans="1:39" x14ac:dyDescent="0.35">
      <c r="A13">
        <v>9</v>
      </c>
      <c r="B13" s="12" t="s">
        <v>108</v>
      </c>
      <c r="C13" s="15" t="s">
        <v>64</v>
      </c>
      <c r="D13" s="15" t="s">
        <v>150</v>
      </c>
      <c r="E13" s="15" t="s">
        <v>151</v>
      </c>
      <c r="F13" s="15">
        <v>0.90200000000000002</v>
      </c>
      <c r="G13" s="15">
        <v>1.33</v>
      </c>
      <c r="H13" s="15">
        <v>1.8560000000000001</v>
      </c>
      <c r="I13" s="15">
        <v>2.855</v>
      </c>
      <c r="J13" s="12">
        <v>0.01</v>
      </c>
      <c r="K13" s="12">
        <v>8.8000000000000007</v>
      </c>
      <c r="L13" s="12">
        <v>10</v>
      </c>
      <c r="M13" s="12">
        <v>193500</v>
      </c>
      <c r="N13" s="12">
        <v>0</v>
      </c>
      <c r="O13" s="12">
        <v>57.9</v>
      </c>
      <c r="P13" s="12">
        <v>0</v>
      </c>
      <c r="Q13" s="12">
        <v>25.7</v>
      </c>
      <c r="R13">
        <v>8</v>
      </c>
      <c r="S13">
        <v>30</v>
      </c>
      <c r="T13">
        <v>0</v>
      </c>
      <c r="U13">
        <v>30</v>
      </c>
      <c r="V13">
        <v>0</v>
      </c>
      <c r="W13">
        <v>30</v>
      </c>
      <c r="X13">
        <v>0</v>
      </c>
      <c r="Y13">
        <v>500</v>
      </c>
      <c r="Z13">
        <v>10</v>
      </c>
      <c r="AA13">
        <v>75</v>
      </c>
      <c r="AB13" s="12"/>
      <c r="AC13" s="12"/>
      <c r="AD13" s="12"/>
      <c r="AE13" s="12"/>
      <c r="AF13" s="12"/>
      <c r="AG13" s="12"/>
      <c r="AH13" s="12"/>
      <c r="AI13" s="12"/>
    </row>
    <row r="14" spans="1:39" x14ac:dyDescent="0.35">
      <c r="A14">
        <v>10</v>
      </c>
      <c r="B14" s="12" t="s">
        <v>109</v>
      </c>
      <c r="C14" s="15" t="s">
        <v>64</v>
      </c>
      <c r="D14" s="15" t="s">
        <v>152</v>
      </c>
      <c r="E14" s="15" t="s">
        <v>153</v>
      </c>
      <c r="F14" s="15">
        <v>0.90200000000000002</v>
      </c>
      <c r="G14" s="15">
        <v>1.33</v>
      </c>
      <c r="H14" s="15">
        <v>1.8560000000000001</v>
      </c>
      <c r="I14" s="15">
        <v>2.855</v>
      </c>
      <c r="J14" s="12">
        <v>0.01</v>
      </c>
      <c r="K14" s="12">
        <v>6.23</v>
      </c>
      <c r="L14" s="12">
        <v>225</v>
      </c>
      <c r="M14" s="12">
        <v>308400</v>
      </c>
      <c r="N14" s="12">
        <v>0</v>
      </c>
      <c r="O14" s="12">
        <v>40.1</v>
      </c>
      <c r="P14" s="12">
        <v>0</v>
      </c>
      <c r="Q14" s="12">
        <v>25.7</v>
      </c>
      <c r="R14">
        <v>8</v>
      </c>
      <c r="S14">
        <v>30</v>
      </c>
      <c r="T14">
        <v>0</v>
      </c>
      <c r="U14">
        <v>30</v>
      </c>
      <c r="V14">
        <v>0</v>
      </c>
      <c r="W14">
        <v>30</v>
      </c>
      <c r="X14">
        <v>0</v>
      </c>
      <c r="Y14">
        <v>500</v>
      </c>
      <c r="Z14">
        <v>10</v>
      </c>
      <c r="AA14">
        <v>75</v>
      </c>
      <c r="AB14" s="12"/>
      <c r="AC14" s="12"/>
      <c r="AD14" s="12"/>
      <c r="AE14" s="12"/>
      <c r="AF14" s="12"/>
      <c r="AG14" s="12"/>
      <c r="AH14" s="12"/>
      <c r="AI14" s="12"/>
    </row>
    <row r="15" spans="1:39" x14ac:dyDescent="0.35">
      <c r="A15">
        <v>11</v>
      </c>
      <c r="B15" s="12" t="s">
        <v>110</v>
      </c>
      <c r="C15" s="15" t="s">
        <v>64</v>
      </c>
      <c r="D15" s="15" t="s">
        <v>154</v>
      </c>
      <c r="E15" s="15" t="s">
        <v>155</v>
      </c>
      <c r="F15" s="15">
        <v>0.55500000000000005</v>
      </c>
      <c r="G15" s="15">
        <v>0.96399999999999997</v>
      </c>
      <c r="H15" s="15">
        <v>1.4510000000000001</v>
      </c>
      <c r="I15" s="15">
        <v>2.5</v>
      </c>
      <c r="J15" s="12">
        <v>0.01</v>
      </c>
      <c r="K15" s="12">
        <v>5.99</v>
      </c>
      <c r="L15" s="12">
        <v>75</v>
      </c>
      <c r="M15" s="12">
        <v>220000</v>
      </c>
      <c r="N15" s="12">
        <v>0</v>
      </c>
      <c r="O15" s="12">
        <v>57.9</v>
      </c>
      <c r="P15" s="12">
        <v>0</v>
      </c>
      <c r="Q15" s="12">
        <v>32.6</v>
      </c>
      <c r="R15">
        <v>8</v>
      </c>
      <c r="S15">
        <v>30</v>
      </c>
      <c r="T15">
        <v>0</v>
      </c>
      <c r="U15">
        <v>0</v>
      </c>
      <c r="V15">
        <v>0</v>
      </c>
      <c r="W15">
        <v>30</v>
      </c>
      <c r="X15">
        <v>0</v>
      </c>
      <c r="Y15">
        <v>0</v>
      </c>
      <c r="Z15">
        <v>15</v>
      </c>
      <c r="AA15">
        <v>75</v>
      </c>
      <c r="AB15" s="12"/>
      <c r="AC15" s="12"/>
      <c r="AD15" s="12"/>
      <c r="AE15" s="12"/>
      <c r="AF15" s="12"/>
      <c r="AG15" s="12"/>
      <c r="AH15" s="12"/>
      <c r="AI15" s="12"/>
    </row>
    <row r="16" spans="1:39" x14ac:dyDescent="0.35">
      <c r="A16">
        <v>12</v>
      </c>
      <c r="B16" s="12" t="s">
        <v>111</v>
      </c>
      <c r="C16" s="15" t="s">
        <v>64</v>
      </c>
      <c r="D16" s="15" t="s">
        <v>156</v>
      </c>
      <c r="E16" s="15" t="s">
        <v>157</v>
      </c>
      <c r="F16" s="15">
        <v>0.748</v>
      </c>
      <c r="G16" s="15">
        <v>1.05</v>
      </c>
      <c r="H16" s="15">
        <v>1.4950000000000001</v>
      </c>
      <c r="I16" s="15">
        <v>2.706</v>
      </c>
      <c r="J16" s="12">
        <v>0.01</v>
      </c>
      <c r="K16" s="12">
        <v>9.01</v>
      </c>
      <c r="L16" s="12">
        <v>10</v>
      </c>
      <c r="M16" s="12">
        <v>257600</v>
      </c>
      <c r="N16" s="12">
        <v>0</v>
      </c>
      <c r="O16" s="12">
        <v>49.79</v>
      </c>
      <c r="P16" s="12">
        <v>0</v>
      </c>
      <c r="Q16" s="12">
        <v>24.64</v>
      </c>
      <c r="R16">
        <v>8</v>
      </c>
      <c r="S16">
        <v>30</v>
      </c>
      <c r="T16">
        <v>0</v>
      </c>
      <c r="U16">
        <v>30</v>
      </c>
      <c r="V16">
        <v>0</v>
      </c>
      <c r="W16">
        <v>30</v>
      </c>
      <c r="X16">
        <v>0</v>
      </c>
      <c r="Y16">
        <v>500</v>
      </c>
      <c r="Z16">
        <v>20</v>
      </c>
      <c r="AA16">
        <v>75</v>
      </c>
      <c r="AB16" s="12"/>
      <c r="AC16" s="12"/>
      <c r="AD16" s="12"/>
      <c r="AE16" s="12"/>
      <c r="AF16" s="12"/>
      <c r="AG16" s="12"/>
      <c r="AH16" s="12"/>
      <c r="AI16" s="12"/>
    </row>
    <row r="17" spans="1:39" x14ac:dyDescent="0.35">
      <c r="A17">
        <v>13</v>
      </c>
      <c r="B17" s="12" t="s">
        <v>112</v>
      </c>
      <c r="C17" s="15" t="s">
        <v>64</v>
      </c>
      <c r="D17" s="15" t="s">
        <v>158</v>
      </c>
      <c r="E17" s="15" t="s">
        <v>159</v>
      </c>
      <c r="F17" s="15">
        <v>0.42599999999999999</v>
      </c>
      <c r="G17" s="15">
        <v>0.85499999999999998</v>
      </c>
      <c r="H17" s="15">
        <v>1.4850000000000001</v>
      </c>
      <c r="I17" s="15">
        <v>2.0419999999999998</v>
      </c>
      <c r="J17" s="12">
        <v>0.01</v>
      </c>
      <c r="K17" s="12">
        <v>14.04</v>
      </c>
      <c r="L17" s="12">
        <v>25</v>
      </c>
      <c r="M17" s="12">
        <v>47400</v>
      </c>
      <c r="N17" s="12">
        <v>0</v>
      </c>
      <c r="O17" s="12">
        <v>75.599999999999994</v>
      </c>
      <c r="P17" s="12">
        <v>0</v>
      </c>
      <c r="Q17" s="12">
        <v>37.1</v>
      </c>
      <c r="R17">
        <v>8</v>
      </c>
      <c r="S17">
        <v>30</v>
      </c>
      <c r="T17">
        <v>0</v>
      </c>
      <c r="U17">
        <v>0</v>
      </c>
      <c r="V17">
        <v>0</v>
      </c>
      <c r="W17">
        <v>30</v>
      </c>
      <c r="X17">
        <v>0</v>
      </c>
      <c r="Y17">
        <v>0</v>
      </c>
      <c r="Z17">
        <v>15</v>
      </c>
      <c r="AA17">
        <v>75</v>
      </c>
      <c r="AB17" s="12"/>
      <c r="AC17" s="12"/>
      <c r="AD17" s="12"/>
      <c r="AE17" s="12"/>
      <c r="AF17" s="12"/>
      <c r="AG17" s="12"/>
      <c r="AH17" s="12"/>
      <c r="AI17" s="12"/>
    </row>
    <row r="18" spans="1:39" x14ac:dyDescent="0.35">
      <c r="A18">
        <v>14</v>
      </c>
      <c r="B18" s="12" t="s">
        <v>113</v>
      </c>
      <c r="C18" s="15" t="s">
        <v>64</v>
      </c>
      <c r="D18" s="15" t="s">
        <v>160</v>
      </c>
      <c r="E18" s="15" t="s">
        <v>161</v>
      </c>
      <c r="F18" s="15">
        <v>0.32400000000000001</v>
      </c>
      <c r="G18" s="15">
        <v>0.74299999999999999</v>
      </c>
      <c r="H18" s="15">
        <v>1.3819999999999999</v>
      </c>
      <c r="I18" s="15">
        <v>1.9470000000000001</v>
      </c>
      <c r="J18" s="12">
        <v>0.01</v>
      </c>
      <c r="K18" s="12">
        <v>6.65</v>
      </c>
      <c r="L18" s="12">
        <v>126</v>
      </c>
      <c r="M18" s="12">
        <v>44500</v>
      </c>
      <c r="N18" s="12">
        <v>0</v>
      </c>
      <c r="O18" s="12">
        <v>90.6</v>
      </c>
      <c r="P18" s="12">
        <v>0</v>
      </c>
      <c r="Q18" s="12">
        <v>24.6</v>
      </c>
      <c r="R18">
        <v>8</v>
      </c>
      <c r="S18">
        <v>30</v>
      </c>
      <c r="T18">
        <v>0</v>
      </c>
      <c r="U18">
        <v>30</v>
      </c>
      <c r="V18">
        <v>0</v>
      </c>
      <c r="W18">
        <v>30</v>
      </c>
      <c r="X18">
        <v>0</v>
      </c>
      <c r="Y18">
        <v>500</v>
      </c>
      <c r="Z18">
        <v>15</v>
      </c>
      <c r="AA18">
        <v>75</v>
      </c>
      <c r="AB18" s="12"/>
      <c r="AC18" s="12"/>
      <c r="AD18" s="12"/>
      <c r="AE18" s="12"/>
      <c r="AF18" s="12"/>
      <c r="AG18" s="12"/>
      <c r="AH18" s="12"/>
      <c r="AI18" s="12"/>
    </row>
    <row r="19" spans="1:39" x14ac:dyDescent="0.35">
      <c r="A19">
        <v>15</v>
      </c>
      <c r="B19" s="12" t="s">
        <v>119</v>
      </c>
      <c r="C19" s="15" t="s">
        <v>64</v>
      </c>
      <c r="D19" s="15" t="s">
        <v>162</v>
      </c>
      <c r="E19" s="15" t="s">
        <v>163</v>
      </c>
      <c r="F19" s="15">
        <v>0.32400000000000001</v>
      </c>
      <c r="G19" s="15">
        <v>0.74299999999999999</v>
      </c>
      <c r="H19" s="15">
        <v>1.3819999999999999</v>
      </c>
      <c r="I19" s="15">
        <v>1.9470000000000001</v>
      </c>
      <c r="J19" s="12">
        <v>0.01</v>
      </c>
      <c r="K19" s="12">
        <v>0.66</v>
      </c>
      <c r="L19" s="12">
        <v>1900</v>
      </c>
      <c r="M19" s="12">
        <v>65000</v>
      </c>
      <c r="N19" s="12">
        <v>0</v>
      </c>
      <c r="O19" s="12">
        <v>49</v>
      </c>
      <c r="P19" s="12">
        <v>0</v>
      </c>
      <c r="Q19" s="12">
        <v>6.8</v>
      </c>
      <c r="R19">
        <v>8</v>
      </c>
      <c r="S19">
        <v>30</v>
      </c>
      <c r="T19">
        <v>0</v>
      </c>
      <c r="U19">
        <v>30</v>
      </c>
      <c r="V19">
        <v>0</v>
      </c>
      <c r="W19">
        <v>30</v>
      </c>
      <c r="X19">
        <v>0</v>
      </c>
      <c r="Y19">
        <v>500</v>
      </c>
      <c r="Z19">
        <v>15</v>
      </c>
      <c r="AA19">
        <v>75</v>
      </c>
      <c r="AB19" s="12"/>
      <c r="AC19" s="12"/>
      <c r="AD19" s="12"/>
      <c r="AE19" s="12"/>
      <c r="AF19" s="12"/>
      <c r="AG19" s="12"/>
      <c r="AH19" s="12"/>
      <c r="AI19" s="12"/>
    </row>
    <row r="20" spans="1:39" x14ac:dyDescent="0.35">
      <c r="A20">
        <v>16</v>
      </c>
      <c r="B20" s="12" t="s">
        <v>114</v>
      </c>
      <c r="C20" s="15" t="s">
        <v>64</v>
      </c>
      <c r="D20" s="15" t="s">
        <v>164</v>
      </c>
      <c r="E20" s="15" t="s">
        <v>165</v>
      </c>
      <c r="F20" s="17">
        <v>-0.22869999999999999</v>
      </c>
      <c r="G20" s="17">
        <v>0.15429999999999999</v>
      </c>
      <c r="H20" s="17">
        <v>0.80410000000000004</v>
      </c>
      <c r="I20" s="17">
        <v>1.3651</v>
      </c>
      <c r="J20" s="12">
        <v>0.01</v>
      </c>
      <c r="K20" s="12">
        <v>13.01</v>
      </c>
      <c r="L20" s="12">
        <v>100</v>
      </c>
      <c r="M20" s="12">
        <v>39293</v>
      </c>
      <c r="N20" s="12">
        <v>0</v>
      </c>
      <c r="O20" s="12">
        <v>99.9</v>
      </c>
      <c r="P20" s="12">
        <v>0</v>
      </c>
      <c r="Q20" s="12">
        <v>26.6</v>
      </c>
      <c r="R20">
        <v>8</v>
      </c>
      <c r="S20">
        <v>30</v>
      </c>
      <c r="T20">
        <v>0</v>
      </c>
      <c r="U20">
        <v>0</v>
      </c>
      <c r="V20">
        <v>0</v>
      </c>
      <c r="W20">
        <v>30</v>
      </c>
      <c r="X20">
        <v>0</v>
      </c>
      <c r="Y20">
        <v>0</v>
      </c>
      <c r="Z20">
        <v>15</v>
      </c>
      <c r="AA20">
        <v>75</v>
      </c>
      <c r="AB20" s="12"/>
      <c r="AC20" s="12"/>
      <c r="AD20" s="12"/>
      <c r="AE20" s="12"/>
      <c r="AF20" s="12"/>
      <c r="AG20" s="12"/>
      <c r="AH20" s="12"/>
      <c r="AI20" s="12"/>
    </row>
    <row r="21" spans="1:39" x14ac:dyDescent="0.35">
      <c r="A21">
        <v>17</v>
      </c>
      <c r="B21" s="12" t="s">
        <v>115</v>
      </c>
      <c r="C21" s="15" t="s">
        <v>64</v>
      </c>
      <c r="D21" s="15" t="s">
        <v>166</v>
      </c>
      <c r="E21" s="15" t="s">
        <v>167</v>
      </c>
      <c r="F21" s="15">
        <v>0.43099999999999999</v>
      </c>
      <c r="G21" s="15">
        <v>0.88500000000000001</v>
      </c>
      <c r="H21" s="15">
        <v>1.5189999999999999</v>
      </c>
      <c r="I21" s="15">
        <v>2.081</v>
      </c>
      <c r="J21" s="12">
        <v>0.01</v>
      </c>
      <c r="K21" s="12">
        <v>14.67</v>
      </c>
      <c r="L21" s="12">
        <v>125</v>
      </c>
      <c r="M21" s="12">
        <v>60105</v>
      </c>
      <c r="N21" s="12">
        <v>0</v>
      </c>
      <c r="O21" s="12">
        <v>99.9</v>
      </c>
      <c r="P21" s="12">
        <v>0</v>
      </c>
      <c r="Q21" s="12">
        <v>25.8</v>
      </c>
      <c r="R21">
        <v>8</v>
      </c>
      <c r="S21">
        <v>30</v>
      </c>
      <c r="T21">
        <v>0</v>
      </c>
      <c r="U21">
        <v>30</v>
      </c>
      <c r="V21">
        <v>0</v>
      </c>
      <c r="W21">
        <v>30</v>
      </c>
      <c r="X21">
        <v>0</v>
      </c>
      <c r="Y21">
        <v>500</v>
      </c>
      <c r="Z21">
        <v>20</v>
      </c>
      <c r="AA21">
        <v>75</v>
      </c>
      <c r="AB21" s="12"/>
      <c r="AC21" s="12"/>
      <c r="AD21" s="12"/>
      <c r="AE21" s="12"/>
      <c r="AF21" s="12"/>
      <c r="AG21" s="12"/>
      <c r="AH21" s="12"/>
      <c r="AI21" s="12"/>
    </row>
    <row r="22" spans="1:39" x14ac:dyDescent="0.35">
      <c r="A22">
        <v>18</v>
      </c>
      <c r="B22" t="s">
        <v>224</v>
      </c>
      <c r="C22" t="s">
        <v>71</v>
      </c>
      <c r="D22" t="s">
        <v>168</v>
      </c>
      <c r="E22" t="s">
        <v>169</v>
      </c>
      <c r="F22" t="s">
        <v>170</v>
      </c>
      <c r="G22" t="s">
        <v>171</v>
      </c>
      <c r="H22" t="s">
        <v>172</v>
      </c>
      <c r="Z22">
        <v>5</v>
      </c>
      <c r="AA22">
        <v>80</v>
      </c>
      <c r="AB22">
        <v>100</v>
      </c>
      <c r="AC22">
        <v>113236</v>
      </c>
      <c r="AD22">
        <v>1</v>
      </c>
      <c r="AE22">
        <v>41000</v>
      </c>
      <c r="AF22">
        <v>0</v>
      </c>
      <c r="AG22">
        <v>39.39</v>
      </c>
      <c r="AH22">
        <v>0</v>
      </c>
      <c r="AI22">
        <v>35.049999999999997</v>
      </c>
      <c r="AJ22">
        <v>1</v>
      </c>
      <c r="AK22">
        <v>10</v>
      </c>
      <c r="AL22">
        <v>1</v>
      </c>
      <c r="AM22">
        <v>10</v>
      </c>
    </row>
    <row r="23" spans="1:39" x14ac:dyDescent="0.35">
      <c r="A23">
        <v>19</v>
      </c>
      <c r="B23" s="13" t="s">
        <v>225</v>
      </c>
      <c r="C23" s="13" t="s">
        <v>71</v>
      </c>
      <c r="D23" s="13" t="s">
        <v>173</v>
      </c>
      <c r="E23" s="13" t="s">
        <v>174</v>
      </c>
      <c r="F23" s="13" t="s">
        <v>175</v>
      </c>
      <c r="G23" s="13" t="s">
        <v>176</v>
      </c>
      <c r="H23" s="13" t="s">
        <v>177</v>
      </c>
      <c r="I23" s="14"/>
      <c r="Z23">
        <v>5</v>
      </c>
      <c r="AA23">
        <v>80</v>
      </c>
      <c r="AB23">
        <v>350</v>
      </c>
      <c r="AC23">
        <v>106424</v>
      </c>
      <c r="AD23">
        <v>1</v>
      </c>
      <c r="AE23">
        <v>66500</v>
      </c>
      <c r="AF23">
        <v>0</v>
      </c>
      <c r="AG23">
        <v>33.69</v>
      </c>
      <c r="AH23">
        <v>0</v>
      </c>
      <c r="AI23">
        <v>18.91</v>
      </c>
      <c r="AJ23">
        <v>1</v>
      </c>
      <c r="AK23">
        <v>10</v>
      </c>
      <c r="AL23">
        <v>1</v>
      </c>
      <c r="AM23">
        <v>10</v>
      </c>
    </row>
    <row r="24" spans="1:39" x14ac:dyDescent="0.35">
      <c r="A24">
        <v>20</v>
      </c>
      <c r="B24" s="12" t="s">
        <v>116</v>
      </c>
      <c r="C24" s="15" t="s">
        <v>71</v>
      </c>
      <c r="D24" s="13" t="s">
        <v>178</v>
      </c>
      <c r="E24" s="13" t="s">
        <v>179</v>
      </c>
      <c r="F24" s="13" t="s">
        <v>180</v>
      </c>
      <c r="G24" s="13" t="s">
        <v>181</v>
      </c>
      <c r="H24" s="13" t="s">
        <v>182</v>
      </c>
      <c r="I24" s="15"/>
      <c r="Z24">
        <v>5</v>
      </c>
      <c r="AA24">
        <v>80</v>
      </c>
      <c r="AB24">
        <v>3400</v>
      </c>
      <c r="AC24">
        <v>128410</v>
      </c>
      <c r="AD24">
        <v>1</v>
      </c>
      <c r="AE24">
        <v>53052</v>
      </c>
      <c r="AF24">
        <v>0</v>
      </c>
      <c r="AG24">
        <v>43.46</v>
      </c>
      <c r="AH24">
        <v>0</v>
      </c>
      <c r="AI24">
        <v>26.26</v>
      </c>
      <c r="AJ24">
        <v>1</v>
      </c>
      <c r="AK24">
        <v>10</v>
      </c>
      <c r="AL24">
        <v>1</v>
      </c>
      <c r="AM24">
        <v>10</v>
      </c>
    </row>
    <row r="25" spans="1:39" x14ac:dyDescent="0.35">
      <c r="A25">
        <v>21</v>
      </c>
      <c r="B25" s="12" t="s">
        <v>117</v>
      </c>
      <c r="C25" s="15" t="s">
        <v>71</v>
      </c>
      <c r="D25" s="13" t="s">
        <v>183</v>
      </c>
      <c r="E25" s="13" t="s">
        <v>184</v>
      </c>
      <c r="F25" s="13" t="s">
        <v>185</v>
      </c>
      <c r="G25" s="13" t="s">
        <v>186</v>
      </c>
      <c r="H25" s="13" t="s">
        <v>187</v>
      </c>
      <c r="I25" s="15"/>
      <c r="Z25">
        <v>5</v>
      </c>
      <c r="AA25">
        <v>80</v>
      </c>
      <c r="AB25">
        <v>1502</v>
      </c>
      <c r="AC25">
        <v>121881</v>
      </c>
      <c r="AD25">
        <v>1</v>
      </c>
      <c r="AE25">
        <v>83421</v>
      </c>
      <c r="AF25">
        <v>0</v>
      </c>
      <c r="AG25">
        <v>29.85</v>
      </c>
      <c r="AH25">
        <v>0</v>
      </c>
      <c r="AI25">
        <v>12.82</v>
      </c>
      <c r="AJ25">
        <v>1</v>
      </c>
      <c r="AK25">
        <v>10</v>
      </c>
      <c r="AL25">
        <v>1</v>
      </c>
      <c r="AM25">
        <v>10</v>
      </c>
    </row>
    <row r="26" spans="1:39" x14ac:dyDescent="0.35">
      <c r="A26">
        <v>22</v>
      </c>
      <c r="B26" s="12" t="s">
        <v>226</v>
      </c>
      <c r="C26" s="15" t="s">
        <v>64</v>
      </c>
      <c r="D26" s="15" t="s">
        <v>188</v>
      </c>
      <c r="E26" s="15" t="s">
        <v>189</v>
      </c>
      <c r="F26" s="15">
        <v>-0.36599999999999999</v>
      </c>
      <c r="G26" s="15">
        <v>0.191</v>
      </c>
      <c r="H26" s="15">
        <v>0.89800000000000002</v>
      </c>
      <c r="I26" s="15">
        <v>1.4350000000000001</v>
      </c>
      <c r="Z26">
        <v>5</v>
      </c>
      <c r="AA26">
        <v>80</v>
      </c>
      <c r="AB26">
        <v>70</v>
      </c>
      <c r="AC26">
        <v>89356</v>
      </c>
      <c r="AD26">
        <v>1</v>
      </c>
      <c r="AE26">
        <v>27850</v>
      </c>
      <c r="AF26">
        <v>0</v>
      </c>
      <c r="AG26">
        <v>54</v>
      </c>
      <c r="AH26">
        <v>0</v>
      </c>
      <c r="AI26">
        <v>14.64</v>
      </c>
      <c r="AJ26">
        <v>1</v>
      </c>
      <c r="AK26">
        <v>10</v>
      </c>
      <c r="AL26">
        <v>1</v>
      </c>
      <c r="AM26">
        <v>10</v>
      </c>
    </row>
    <row r="27" spans="1:39" x14ac:dyDescent="0.35">
      <c r="A27">
        <v>23</v>
      </c>
      <c r="B27" s="12" t="s">
        <v>227</v>
      </c>
      <c r="C27" s="15" t="s">
        <v>64</v>
      </c>
      <c r="D27" s="15" t="s">
        <v>190</v>
      </c>
      <c r="E27" s="15" t="s">
        <v>191</v>
      </c>
      <c r="F27" s="15">
        <v>-0.74</v>
      </c>
      <c r="G27" s="15">
        <v>-0.12</v>
      </c>
      <c r="H27" s="15">
        <v>0.54800000000000004</v>
      </c>
      <c r="I27" s="15">
        <v>0.93500000000000005</v>
      </c>
      <c r="Z27">
        <v>5</v>
      </c>
      <c r="AA27">
        <v>80</v>
      </c>
      <c r="AB27">
        <v>110</v>
      </c>
      <c r="AC27">
        <v>93500</v>
      </c>
      <c r="AD27">
        <v>1</v>
      </c>
      <c r="AE27">
        <v>23800</v>
      </c>
      <c r="AF27">
        <v>0</v>
      </c>
      <c r="AG27">
        <v>48.85</v>
      </c>
      <c r="AH27">
        <v>0</v>
      </c>
      <c r="AI27">
        <v>23.91</v>
      </c>
      <c r="AJ27">
        <v>1</v>
      </c>
      <c r="AK27">
        <v>10</v>
      </c>
      <c r="AL27">
        <v>1</v>
      </c>
      <c r="AM27">
        <v>10</v>
      </c>
    </row>
    <row r="28" spans="1:39" x14ac:dyDescent="0.35">
      <c r="A28">
        <v>24</v>
      </c>
      <c r="B28" t="s">
        <v>118</v>
      </c>
      <c r="C28" t="s">
        <v>64</v>
      </c>
      <c r="D28" s="15" t="s">
        <v>192</v>
      </c>
      <c r="E28" s="15" t="s">
        <v>193</v>
      </c>
      <c r="F28">
        <v>0.17899999999999999</v>
      </c>
      <c r="G28">
        <v>0.93300000000000005</v>
      </c>
      <c r="H28">
        <v>1.734</v>
      </c>
      <c r="I28">
        <v>2.278</v>
      </c>
      <c r="Z28">
        <v>5</v>
      </c>
      <c r="AA28">
        <v>80</v>
      </c>
      <c r="AB28">
        <v>2200</v>
      </c>
      <c r="AC28">
        <v>72156</v>
      </c>
      <c r="AD28">
        <v>1</v>
      </c>
      <c r="AE28">
        <v>54500</v>
      </c>
      <c r="AF28">
        <v>0</v>
      </c>
      <c r="AG28">
        <v>73.13</v>
      </c>
      <c r="AH28">
        <v>0</v>
      </c>
      <c r="AI28">
        <v>26.4</v>
      </c>
      <c r="AJ28">
        <v>1</v>
      </c>
      <c r="AK28">
        <v>10</v>
      </c>
      <c r="AL28">
        <v>1</v>
      </c>
      <c r="AM28">
        <v>10</v>
      </c>
    </row>
    <row r="33" spans="2:9" x14ac:dyDescent="0.35">
      <c r="B33" s="12"/>
      <c r="C33" s="12"/>
      <c r="D33" s="12"/>
      <c r="E33" s="12"/>
      <c r="F33" s="12"/>
      <c r="G33" s="12"/>
      <c r="H33" s="12"/>
      <c r="I33" s="12"/>
    </row>
  </sheetData>
  <mergeCells count="15">
    <mergeCell ref="T1:U1"/>
    <mergeCell ref="V1:W1"/>
    <mergeCell ref="Z1:AA1"/>
    <mergeCell ref="X1:Y1"/>
    <mergeCell ref="J1:K1"/>
    <mergeCell ref="L1:M1"/>
    <mergeCell ref="N1:O1"/>
    <mergeCell ref="P1:Q1"/>
    <mergeCell ref="R1:S1"/>
    <mergeCell ref="AJ1:AK1"/>
    <mergeCell ref="AL1:AM1"/>
    <mergeCell ref="AB1:AC1"/>
    <mergeCell ref="AD1:AE1"/>
    <mergeCell ref="AF1:AG1"/>
    <mergeCell ref="AH1:AI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B8E7-703E-410F-88BF-1A1462F71AE0}">
  <dimension ref="A1:P37"/>
  <sheetViews>
    <sheetView tabSelected="1" topLeftCell="A22" zoomScale="85" zoomScaleNormal="85" workbookViewId="0">
      <selection sqref="A1:XFD1048576"/>
    </sheetView>
  </sheetViews>
  <sheetFormatPr defaultRowHeight="15.5" x14ac:dyDescent="0.35"/>
  <sheetData>
    <row r="1" spans="1:16" x14ac:dyDescent="0.35">
      <c r="A1" s="92" t="s">
        <v>228</v>
      </c>
      <c r="B1" s="92"/>
      <c r="C1" s="92"/>
    </row>
    <row r="2" spans="1:16" x14ac:dyDescent="0.35">
      <c r="A2" s="93" t="s">
        <v>229</v>
      </c>
      <c r="B2" s="93"/>
      <c r="C2" s="93"/>
      <c r="D2" s="93"/>
      <c r="E2" s="93"/>
      <c r="F2" s="93"/>
      <c r="G2" s="93"/>
      <c r="H2" s="93"/>
      <c r="I2" s="93"/>
      <c r="J2" s="93"/>
      <c r="K2" s="93"/>
      <c r="L2" s="93"/>
      <c r="M2" s="93"/>
      <c r="N2" s="93"/>
      <c r="O2" s="93"/>
      <c r="P2" s="93"/>
    </row>
    <row r="3" spans="1:16" x14ac:dyDescent="0.35">
      <c r="A3" s="93"/>
      <c r="B3" s="93"/>
      <c r="C3" s="93"/>
      <c r="D3" s="93"/>
      <c r="E3" s="93"/>
      <c r="F3" s="93"/>
      <c r="G3" s="93"/>
      <c r="H3" s="93"/>
      <c r="I3" s="93"/>
      <c r="J3" s="93"/>
      <c r="K3" s="93"/>
      <c r="L3" s="93"/>
      <c r="M3" s="93"/>
      <c r="N3" s="93"/>
      <c r="O3" s="93"/>
      <c r="P3" s="93"/>
    </row>
    <row r="4" spans="1:16" x14ac:dyDescent="0.35">
      <c r="A4" s="93"/>
      <c r="B4" s="93"/>
      <c r="C4" s="93"/>
      <c r="D4" s="93"/>
      <c r="E4" s="93"/>
      <c r="F4" s="93"/>
      <c r="G4" s="93"/>
      <c r="H4" s="93"/>
      <c r="I4" s="93"/>
      <c r="J4" s="93"/>
      <c r="K4" s="93"/>
      <c r="L4" s="93"/>
      <c r="M4" s="93"/>
      <c r="N4" s="93"/>
      <c r="O4" s="93"/>
      <c r="P4" s="93"/>
    </row>
    <row r="5" spans="1:16" x14ac:dyDescent="0.35">
      <c r="A5" s="93"/>
      <c r="B5" s="93"/>
      <c r="C5" s="93"/>
      <c r="D5" s="93"/>
      <c r="E5" s="93"/>
      <c r="F5" s="93"/>
      <c r="G5" s="93"/>
      <c r="H5" s="93"/>
      <c r="I5" s="93"/>
      <c r="J5" s="93"/>
      <c r="K5" s="93"/>
      <c r="L5" s="93"/>
      <c r="M5" s="93"/>
      <c r="N5" s="93"/>
      <c r="O5" s="93"/>
      <c r="P5" s="93"/>
    </row>
    <row r="6" spans="1:16" x14ac:dyDescent="0.35">
      <c r="A6" s="93"/>
      <c r="B6" s="93"/>
      <c r="C6" s="93"/>
      <c r="D6" s="93"/>
      <c r="E6" s="93"/>
      <c r="F6" s="93"/>
      <c r="G6" s="93"/>
      <c r="H6" s="93"/>
      <c r="I6" s="93"/>
      <c r="J6" s="93"/>
      <c r="K6" s="93"/>
      <c r="L6" s="93"/>
      <c r="M6" s="93"/>
      <c r="N6" s="93"/>
      <c r="O6" s="93"/>
      <c r="P6" s="93"/>
    </row>
    <row r="7" spans="1:16" x14ac:dyDescent="0.35">
      <c r="A7" s="93"/>
      <c r="B7" s="93"/>
      <c r="C7" s="93"/>
      <c r="D7" s="93"/>
      <c r="E7" s="93"/>
      <c r="F7" s="93"/>
      <c r="G7" s="93"/>
      <c r="H7" s="93"/>
      <c r="I7" s="93"/>
      <c r="J7" s="93"/>
      <c r="K7" s="93"/>
      <c r="L7" s="93"/>
      <c r="M7" s="93"/>
      <c r="N7" s="93"/>
      <c r="O7" s="93"/>
      <c r="P7" s="93"/>
    </row>
    <row r="8" spans="1:16" x14ac:dyDescent="0.35">
      <c r="A8" s="93"/>
      <c r="B8" s="93"/>
      <c r="C8" s="93"/>
      <c r="D8" s="93"/>
      <c r="E8" s="93"/>
      <c r="F8" s="93"/>
      <c r="G8" s="93"/>
      <c r="H8" s="93"/>
      <c r="I8" s="93"/>
      <c r="J8" s="93"/>
      <c r="K8" s="93"/>
      <c r="L8" s="93"/>
      <c r="M8" s="93"/>
      <c r="N8" s="93"/>
      <c r="O8" s="93"/>
      <c r="P8" s="93"/>
    </row>
    <row r="9" spans="1:16" x14ac:dyDescent="0.35">
      <c r="A9" s="93"/>
      <c r="B9" s="93"/>
      <c r="C9" s="93"/>
      <c r="D9" s="93"/>
      <c r="E9" s="93"/>
      <c r="F9" s="93"/>
      <c r="G9" s="93"/>
      <c r="H9" s="93"/>
      <c r="I9" s="93"/>
      <c r="J9" s="93"/>
      <c r="K9" s="93"/>
      <c r="L9" s="93"/>
      <c r="M9" s="93"/>
      <c r="N9" s="93"/>
      <c r="O9" s="93"/>
      <c r="P9" s="93"/>
    </row>
    <row r="10" spans="1:16" x14ac:dyDescent="0.35">
      <c r="A10" s="93"/>
      <c r="B10" s="93"/>
      <c r="C10" s="93"/>
      <c r="D10" s="93"/>
      <c r="E10" s="93"/>
      <c r="F10" s="93"/>
      <c r="G10" s="93"/>
      <c r="H10" s="93"/>
      <c r="I10" s="93"/>
      <c r="J10" s="93"/>
      <c r="K10" s="93"/>
      <c r="L10" s="93"/>
      <c r="M10" s="93"/>
      <c r="N10" s="93"/>
      <c r="O10" s="93"/>
      <c r="P10" s="93"/>
    </row>
    <row r="11" spans="1:16" x14ac:dyDescent="0.35">
      <c r="A11" s="93"/>
      <c r="B11" s="93"/>
      <c r="C11" s="93"/>
      <c r="D11" s="93"/>
      <c r="E11" s="93"/>
      <c r="F11" s="93"/>
      <c r="G11" s="93"/>
      <c r="H11" s="93"/>
      <c r="I11" s="93"/>
      <c r="J11" s="93"/>
      <c r="K11" s="93"/>
      <c r="L11" s="93"/>
      <c r="M11" s="93"/>
      <c r="N11" s="93"/>
      <c r="O11" s="93"/>
      <c r="P11" s="93"/>
    </row>
    <row r="12" spans="1:16" x14ac:dyDescent="0.35">
      <c r="A12" s="93"/>
      <c r="B12" s="93"/>
      <c r="C12" s="93"/>
      <c r="D12" s="93"/>
      <c r="E12" s="93"/>
      <c r="F12" s="93"/>
      <c r="G12" s="93"/>
      <c r="H12" s="93"/>
      <c r="I12" s="93"/>
      <c r="J12" s="93"/>
      <c r="K12" s="93"/>
      <c r="L12" s="93"/>
      <c r="M12" s="93"/>
      <c r="N12" s="93"/>
      <c r="O12" s="93"/>
      <c r="P12" s="93"/>
    </row>
    <row r="13" spans="1:16" x14ac:dyDescent="0.35">
      <c r="A13" s="93"/>
      <c r="B13" s="93"/>
      <c r="C13" s="93"/>
      <c r="D13" s="93"/>
      <c r="E13" s="93"/>
      <c r="F13" s="93"/>
      <c r="G13" s="93"/>
      <c r="H13" s="93"/>
      <c r="I13" s="93"/>
      <c r="J13" s="93"/>
      <c r="K13" s="93"/>
      <c r="L13" s="93"/>
      <c r="M13" s="93"/>
      <c r="N13" s="93"/>
      <c r="O13" s="93"/>
      <c r="P13" s="93"/>
    </row>
    <row r="14" spans="1:16" x14ac:dyDescent="0.35">
      <c r="A14" s="93"/>
      <c r="B14" s="93"/>
      <c r="C14" s="93"/>
      <c r="D14" s="93"/>
      <c r="E14" s="93"/>
      <c r="F14" s="93"/>
      <c r="G14" s="93"/>
      <c r="H14" s="93"/>
      <c r="I14" s="93"/>
      <c r="J14" s="93"/>
      <c r="K14" s="93"/>
      <c r="L14" s="93"/>
      <c r="M14" s="93"/>
      <c r="N14" s="93"/>
      <c r="O14" s="93"/>
      <c r="P14" s="93"/>
    </row>
    <row r="17" spans="1:16" x14ac:dyDescent="0.35">
      <c r="A17" s="94" t="s">
        <v>230</v>
      </c>
      <c r="B17" s="94"/>
      <c r="C17" s="94"/>
      <c r="D17" s="94"/>
      <c r="E17" s="94"/>
    </row>
    <row r="18" spans="1:16" ht="15.5" customHeight="1" x14ac:dyDescent="0.35">
      <c r="A18" s="95" t="s">
        <v>231</v>
      </c>
      <c r="B18" s="95"/>
      <c r="C18" s="96" t="s">
        <v>232</v>
      </c>
      <c r="D18" s="96"/>
      <c r="E18" s="96"/>
      <c r="F18" s="96"/>
      <c r="G18" s="96"/>
      <c r="H18" s="96"/>
      <c r="I18" s="96"/>
      <c r="J18" s="96"/>
      <c r="K18" s="96"/>
      <c r="L18" s="96"/>
      <c r="M18" s="96"/>
      <c r="N18" s="96"/>
      <c r="O18" s="96"/>
      <c r="P18" s="96"/>
    </row>
    <row r="19" spans="1:16" ht="15.5" customHeight="1" x14ac:dyDescent="0.35">
      <c r="A19" s="95"/>
      <c r="B19" s="95"/>
      <c r="C19" s="96"/>
      <c r="D19" s="96"/>
      <c r="E19" s="96"/>
      <c r="F19" s="96"/>
      <c r="G19" s="96"/>
      <c r="H19" s="96"/>
      <c r="I19" s="96"/>
      <c r="J19" s="96"/>
      <c r="K19" s="96"/>
      <c r="L19" s="96"/>
      <c r="M19" s="96"/>
      <c r="N19" s="96"/>
      <c r="O19" s="96"/>
      <c r="P19" s="96"/>
    </row>
    <row r="20" spans="1:16" ht="15.5" customHeight="1" x14ac:dyDescent="0.35">
      <c r="A20" s="95"/>
      <c r="B20" s="95"/>
      <c r="C20" s="96" t="s">
        <v>233</v>
      </c>
      <c r="D20" s="96"/>
      <c r="E20" s="96"/>
      <c r="F20" s="96"/>
      <c r="G20" s="96"/>
      <c r="H20" s="96"/>
      <c r="I20" s="96"/>
      <c r="J20" s="96"/>
      <c r="K20" s="96"/>
      <c r="L20" s="96"/>
      <c r="M20" s="96"/>
      <c r="N20" s="96"/>
      <c r="O20" s="96"/>
      <c r="P20" s="96"/>
    </row>
    <row r="21" spans="1:16" ht="15.5" customHeight="1" x14ac:dyDescent="0.35">
      <c r="A21" s="95"/>
      <c r="B21" s="95"/>
      <c r="C21" s="96" t="s">
        <v>234</v>
      </c>
      <c r="D21" s="96"/>
      <c r="E21" s="96"/>
      <c r="F21" s="96"/>
      <c r="G21" s="96"/>
      <c r="H21" s="96"/>
      <c r="I21" s="96"/>
      <c r="J21" s="96"/>
      <c r="K21" s="96"/>
      <c r="L21" s="96"/>
      <c r="M21" s="96"/>
      <c r="N21" s="96"/>
      <c r="O21" s="96"/>
      <c r="P21" s="96"/>
    </row>
    <row r="22" spans="1:16" ht="15.5" customHeight="1" x14ac:dyDescent="0.35">
      <c r="A22" s="97" t="s">
        <v>235</v>
      </c>
      <c r="B22" s="97"/>
      <c r="C22" s="97" t="s">
        <v>236</v>
      </c>
      <c r="D22" s="97"/>
      <c r="E22" s="97"/>
      <c r="F22" s="97"/>
      <c r="G22" s="97"/>
      <c r="H22" s="97"/>
      <c r="I22" s="98"/>
      <c r="J22" s="98"/>
      <c r="K22" s="98"/>
      <c r="L22" s="98"/>
      <c r="M22" s="98"/>
      <c r="N22" s="98"/>
      <c r="O22" s="98"/>
    </row>
    <row r="23" spans="1:16" x14ac:dyDescent="0.35">
      <c r="A23" s="99" t="s">
        <v>237</v>
      </c>
      <c r="B23" s="99"/>
      <c r="C23" s="100" t="s">
        <v>238</v>
      </c>
      <c r="D23" s="100"/>
      <c r="E23" s="100"/>
      <c r="F23" s="100"/>
      <c r="G23" s="98"/>
      <c r="H23" s="98"/>
      <c r="I23" s="98"/>
      <c r="J23" s="98"/>
      <c r="K23" s="98"/>
      <c r="L23" s="98"/>
      <c r="M23" s="98"/>
      <c r="N23" s="98"/>
      <c r="O23" s="98"/>
    </row>
    <row r="24" spans="1:16" x14ac:dyDescent="0.35">
      <c r="A24" s="98"/>
      <c r="B24" s="98"/>
      <c r="C24" s="98"/>
      <c r="D24" s="98"/>
      <c r="E24" s="98"/>
      <c r="F24" s="98"/>
      <c r="G24" s="98"/>
      <c r="H24" s="98"/>
      <c r="I24" s="98"/>
      <c r="J24" s="98"/>
      <c r="K24" s="98"/>
      <c r="L24" s="98"/>
      <c r="M24" s="98"/>
      <c r="N24" s="98"/>
      <c r="O24" s="98"/>
    </row>
    <row r="25" spans="1:16" x14ac:dyDescent="0.35">
      <c r="A25" s="98"/>
      <c r="B25" s="98"/>
      <c r="C25" s="98"/>
      <c r="D25" s="98"/>
      <c r="E25" s="98"/>
      <c r="F25" s="98"/>
      <c r="G25" s="98"/>
      <c r="H25" s="98"/>
      <c r="I25" s="98"/>
      <c r="J25" s="98"/>
      <c r="K25" s="98"/>
      <c r="L25" s="98"/>
      <c r="M25" s="98"/>
      <c r="N25" s="98"/>
      <c r="O25" s="98"/>
    </row>
    <row r="26" spans="1:16" x14ac:dyDescent="0.35">
      <c r="A26" s="94" t="s">
        <v>239</v>
      </c>
      <c r="B26" s="94"/>
      <c r="C26" s="98"/>
      <c r="D26" s="98"/>
      <c r="E26" s="98"/>
      <c r="F26" s="98"/>
      <c r="G26" s="98"/>
      <c r="H26" s="98"/>
      <c r="I26" s="98"/>
      <c r="J26" s="98"/>
      <c r="K26" s="98"/>
      <c r="L26" s="98"/>
      <c r="M26" s="98"/>
      <c r="N26" s="98"/>
      <c r="O26" s="98"/>
    </row>
    <row r="27" spans="1:16" ht="15.5" customHeight="1" x14ac:dyDescent="0.35">
      <c r="A27" s="101" t="s">
        <v>240</v>
      </c>
      <c r="B27" s="101"/>
      <c r="C27" s="101"/>
      <c r="D27" s="101"/>
      <c r="E27" s="101"/>
      <c r="F27" s="101"/>
      <c r="G27" s="101"/>
      <c r="H27" s="101"/>
      <c r="I27" s="101"/>
      <c r="J27" s="101"/>
      <c r="K27" s="101"/>
      <c r="L27" s="101"/>
      <c r="M27" s="101"/>
      <c r="N27" s="101"/>
      <c r="O27" s="101"/>
      <c r="P27" s="101"/>
    </row>
    <row r="28" spans="1:16" x14ac:dyDescent="0.35">
      <c r="A28" s="101"/>
      <c r="B28" s="101"/>
      <c r="C28" s="101"/>
      <c r="D28" s="101"/>
      <c r="E28" s="101"/>
      <c r="F28" s="101"/>
      <c r="G28" s="101"/>
      <c r="H28" s="101"/>
      <c r="I28" s="101"/>
      <c r="J28" s="101"/>
      <c r="K28" s="101"/>
      <c r="L28" s="101"/>
      <c r="M28" s="101"/>
      <c r="N28" s="101"/>
      <c r="O28" s="101"/>
      <c r="P28" s="101"/>
    </row>
    <row r="29" spans="1:16" x14ac:dyDescent="0.35">
      <c r="A29" s="101"/>
      <c r="B29" s="101"/>
      <c r="C29" s="101"/>
      <c r="D29" s="101"/>
      <c r="E29" s="101"/>
      <c r="F29" s="101"/>
      <c r="G29" s="101"/>
      <c r="H29" s="101"/>
      <c r="I29" s="101"/>
      <c r="J29" s="101"/>
      <c r="K29" s="101"/>
      <c r="L29" s="101"/>
      <c r="M29" s="101"/>
      <c r="N29" s="101"/>
      <c r="O29" s="101"/>
      <c r="P29" s="101"/>
    </row>
    <row r="30" spans="1:16" x14ac:dyDescent="0.35">
      <c r="A30" s="101"/>
      <c r="B30" s="101"/>
      <c r="C30" s="101"/>
      <c r="D30" s="101"/>
      <c r="E30" s="101"/>
      <c r="F30" s="101"/>
      <c r="G30" s="101"/>
      <c r="H30" s="101"/>
      <c r="I30" s="101"/>
      <c r="J30" s="101"/>
      <c r="K30" s="101"/>
      <c r="L30" s="101"/>
      <c r="M30" s="101"/>
      <c r="N30" s="101"/>
      <c r="O30" s="101"/>
      <c r="P30" s="101"/>
    </row>
    <row r="31" spans="1:16" x14ac:dyDescent="0.35">
      <c r="A31" s="101"/>
      <c r="B31" s="101"/>
      <c r="C31" s="101"/>
      <c r="D31" s="101"/>
      <c r="E31" s="101"/>
      <c r="F31" s="101"/>
      <c r="G31" s="101"/>
      <c r="H31" s="101"/>
      <c r="I31" s="101"/>
      <c r="J31" s="101"/>
      <c r="K31" s="101"/>
      <c r="L31" s="101"/>
      <c r="M31" s="101"/>
      <c r="N31" s="101"/>
      <c r="O31" s="101"/>
      <c r="P31" s="101"/>
    </row>
    <row r="32" spans="1:16" x14ac:dyDescent="0.35">
      <c r="A32" s="101"/>
      <c r="B32" s="101"/>
      <c r="C32" s="101"/>
      <c r="D32" s="101"/>
      <c r="E32" s="101"/>
      <c r="F32" s="101"/>
      <c r="G32" s="101"/>
      <c r="H32" s="101"/>
      <c r="I32" s="101"/>
      <c r="J32" s="101"/>
      <c r="K32" s="101"/>
      <c r="L32" s="101"/>
      <c r="M32" s="101"/>
      <c r="N32" s="101"/>
      <c r="O32" s="101"/>
      <c r="P32" s="101"/>
    </row>
    <row r="35" spans="1:16" x14ac:dyDescent="0.35">
      <c r="A35" s="102" t="s">
        <v>241</v>
      </c>
      <c r="B35" s="102"/>
    </row>
    <row r="36" spans="1:16" ht="15.5" customHeight="1" x14ac:dyDescent="0.35">
      <c r="A36" s="101" t="s">
        <v>242</v>
      </c>
      <c r="B36" s="101"/>
      <c r="C36" s="101"/>
      <c r="D36" s="101"/>
      <c r="E36" s="101"/>
      <c r="F36" s="101"/>
      <c r="G36" s="101"/>
      <c r="H36" s="101"/>
      <c r="I36" s="101"/>
      <c r="J36" s="101"/>
      <c r="K36" s="101"/>
      <c r="L36" s="101"/>
      <c r="M36" s="101"/>
      <c r="N36" s="101"/>
      <c r="O36" s="101"/>
      <c r="P36" s="101"/>
    </row>
    <row r="37" spans="1:16" x14ac:dyDescent="0.35">
      <c r="A37" s="101"/>
      <c r="B37" s="101"/>
      <c r="C37" s="101"/>
      <c r="D37" s="101"/>
      <c r="E37" s="101"/>
      <c r="F37" s="101"/>
      <c r="G37" s="101"/>
      <c r="H37" s="101"/>
      <c r="I37" s="101"/>
      <c r="J37" s="101"/>
      <c r="K37" s="101"/>
      <c r="L37" s="101"/>
      <c r="M37" s="101"/>
      <c r="N37" s="101"/>
      <c r="O37" s="101"/>
      <c r="P37" s="101"/>
    </row>
  </sheetData>
  <mergeCells count="15">
    <mergeCell ref="A35:B35"/>
    <mergeCell ref="A36:P37"/>
    <mergeCell ref="A22:B22"/>
    <mergeCell ref="C22:H22"/>
    <mergeCell ref="A23:B23"/>
    <mergeCell ref="C23:F23"/>
    <mergeCell ref="A26:B26"/>
    <mergeCell ref="A27:P32"/>
    <mergeCell ref="A1:C1"/>
    <mergeCell ref="A2:P14"/>
    <mergeCell ref="A17:E17"/>
    <mergeCell ref="A18:B21"/>
    <mergeCell ref="C18:P19"/>
    <mergeCell ref="C20:P20"/>
    <mergeCell ref="C21:P21"/>
  </mergeCells>
  <hyperlinks>
    <hyperlink ref="C23" r:id="rId1" display="mailto:naveen.eluru@ucf.edu" xr:uid="{2D90F924-D68C-405F-BB1D-700AC605C52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75879-A51F-4FC1-96F2-518046CDA835}">
  <sheetPr codeName="Sheet1"/>
  <dimension ref="A1:L26"/>
  <sheetViews>
    <sheetView topLeftCell="A6" zoomScale="55" zoomScaleNormal="55" workbookViewId="0">
      <selection activeCell="H10" sqref="H10"/>
    </sheetView>
  </sheetViews>
  <sheetFormatPr defaultRowHeight="15.5" x14ac:dyDescent="0.35"/>
  <cols>
    <col min="7" max="7" width="17.33203125" customWidth="1"/>
    <col min="9" max="9" width="12" customWidth="1"/>
    <col min="12" max="12" width="54.58203125" customWidth="1"/>
  </cols>
  <sheetData>
    <row r="1" spans="1:12" ht="16" thickBot="1" x14ac:dyDescent="0.4">
      <c r="A1" s="22" t="s">
        <v>46</v>
      </c>
      <c r="B1" s="23"/>
      <c r="C1" s="23"/>
      <c r="D1" s="23"/>
      <c r="E1" s="23"/>
      <c r="F1" s="23"/>
      <c r="G1" s="23"/>
      <c r="H1" s="23"/>
      <c r="I1" s="23"/>
      <c r="J1" s="24"/>
      <c r="L1" s="18" t="s">
        <v>194</v>
      </c>
    </row>
    <row r="2" spans="1:12" ht="16" thickBot="1" x14ac:dyDescent="0.4">
      <c r="A2" s="66" t="s">
        <v>99</v>
      </c>
      <c r="B2" s="67"/>
      <c r="C2" s="67"/>
      <c r="D2" s="67"/>
      <c r="E2" s="67"/>
      <c r="F2" s="68"/>
      <c r="G2" s="63"/>
      <c r="H2" s="64"/>
      <c r="I2" s="64"/>
      <c r="J2" s="65"/>
    </row>
    <row r="3" spans="1:12" x14ac:dyDescent="0.35">
      <c r="A3" s="25" t="s">
        <v>97</v>
      </c>
      <c r="B3" s="26"/>
      <c r="C3" s="26"/>
      <c r="D3" s="26"/>
      <c r="E3" s="26"/>
      <c r="F3" s="26"/>
      <c r="G3" s="37"/>
      <c r="H3" s="37"/>
      <c r="I3" s="37"/>
      <c r="J3" s="38"/>
    </row>
    <row r="4" spans="1:12" x14ac:dyDescent="0.35">
      <c r="A4" s="32" t="s">
        <v>41</v>
      </c>
      <c r="B4" s="33"/>
      <c r="C4" s="33"/>
      <c r="D4" s="33"/>
      <c r="E4" s="33"/>
      <c r="F4" s="33"/>
      <c r="G4" s="39"/>
      <c r="H4" s="39"/>
      <c r="I4" s="39"/>
      <c r="J4" s="40"/>
    </row>
    <row r="5" spans="1:12" x14ac:dyDescent="0.35">
      <c r="A5" s="32" t="s">
        <v>26</v>
      </c>
      <c r="B5" s="33"/>
      <c r="C5" s="33"/>
      <c r="D5" s="33"/>
      <c r="E5" s="33"/>
      <c r="F5" s="33"/>
      <c r="G5" s="35"/>
      <c r="H5" s="35"/>
      <c r="I5" s="35"/>
      <c r="J5" s="36"/>
    </row>
    <row r="6" spans="1:12" x14ac:dyDescent="0.35">
      <c r="A6" s="32" t="s">
        <v>22</v>
      </c>
      <c r="B6" s="33"/>
      <c r="C6" s="33"/>
      <c r="D6" s="33"/>
      <c r="E6" s="33"/>
      <c r="F6" s="33"/>
      <c r="G6" s="35"/>
      <c r="H6" s="35"/>
      <c r="I6" s="35"/>
      <c r="J6" s="36"/>
    </row>
    <row r="7" spans="1:12" ht="46.5" x14ac:dyDescent="0.35">
      <c r="A7" s="32" t="s">
        <v>31</v>
      </c>
      <c r="B7" s="33"/>
      <c r="C7" s="33"/>
      <c r="D7" s="33"/>
      <c r="E7" s="33"/>
      <c r="F7" s="33"/>
      <c r="G7" s="35"/>
      <c r="H7" s="35"/>
      <c r="I7" s="35"/>
      <c r="J7" s="36"/>
      <c r="L7" s="19" t="s">
        <v>197</v>
      </c>
    </row>
    <row r="8" spans="1:12" ht="46.5" x14ac:dyDescent="0.35">
      <c r="A8" s="32" t="s">
        <v>32</v>
      </c>
      <c r="B8" s="33"/>
      <c r="C8" s="33"/>
      <c r="D8" s="33"/>
      <c r="E8" s="33"/>
      <c r="F8" s="33"/>
      <c r="G8" s="34"/>
      <c r="H8" s="35"/>
      <c r="I8" s="35"/>
      <c r="J8" s="36"/>
      <c r="L8" s="19" t="s">
        <v>223</v>
      </c>
    </row>
    <row r="9" spans="1:12" x14ac:dyDescent="0.35">
      <c r="A9" s="32" t="s">
        <v>25</v>
      </c>
      <c r="B9" s="33"/>
      <c r="C9" s="33"/>
      <c r="D9" s="33"/>
      <c r="E9" s="33"/>
      <c r="F9" s="33"/>
      <c r="G9" s="34"/>
      <c r="H9" s="35"/>
      <c r="I9" s="35"/>
      <c r="J9" s="36"/>
    </row>
    <row r="10" spans="1:12" x14ac:dyDescent="0.35">
      <c r="A10" s="32" t="s">
        <v>24</v>
      </c>
      <c r="B10" s="33"/>
      <c r="C10" s="33"/>
      <c r="D10" s="33"/>
      <c r="E10" s="33"/>
      <c r="F10" s="33"/>
      <c r="G10" s="2" t="s">
        <v>220</v>
      </c>
      <c r="H10" s="1"/>
      <c r="I10" s="4" t="s">
        <v>221</v>
      </c>
      <c r="J10" s="6"/>
    </row>
    <row r="11" spans="1:12" x14ac:dyDescent="0.35">
      <c r="A11" s="32" t="s">
        <v>23</v>
      </c>
      <c r="B11" s="33"/>
      <c r="C11" s="33"/>
      <c r="D11" s="33"/>
      <c r="E11" s="33"/>
      <c r="F11" s="33"/>
      <c r="G11" s="69"/>
      <c r="H11" s="39"/>
      <c r="I11" s="39"/>
      <c r="J11" s="40"/>
    </row>
    <row r="12" spans="1:12" x14ac:dyDescent="0.35">
      <c r="A12" s="32" t="s">
        <v>33</v>
      </c>
      <c r="B12" s="33"/>
      <c r="C12" s="33"/>
      <c r="D12" s="33"/>
      <c r="E12" s="33"/>
      <c r="F12" s="33"/>
      <c r="G12" s="53"/>
      <c r="H12" s="54"/>
      <c r="I12" s="54"/>
      <c r="J12" s="55"/>
    </row>
    <row r="13" spans="1:12" x14ac:dyDescent="0.35">
      <c r="A13" s="32" t="s">
        <v>34</v>
      </c>
      <c r="B13" s="33"/>
      <c r="C13" s="33"/>
      <c r="D13" s="33"/>
      <c r="E13" s="33"/>
      <c r="F13" s="33"/>
      <c r="G13" s="53"/>
      <c r="H13" s="54"/>
      <c r="I13" s="54"/>
      <c r="J13" s="55"/>
    </row>
    <row r="14" spans="1:12" ht="16" thickBot="1" x14ac:dyDescent="0.4">
      <c r="A14" s="30" t="s">
        <v>35</v>
      </c>
      <c r="B14" s="31"/>
      <c r="C14" s="31"/>
      <c r="D14" s="31"/>
      <c r="E14" s="31"/>
      <c r="F14" s="31"/>
      <c r="G14" s="56"/>
      <c r="H14" s="57"/>
      <c r="I14" s="57"/>
      <c r="J14" s="58"/>
    </row>
    <row r="15" spans="1:12" ht="16" thickBot="1" x14ac:dyDescent="0.4">
      <c r="A15" s="27" t="s">
        <v>36</v>
      </c>
      <c r="B15" s="28"/>
      <c r="C15" s="28"/>
      <c r="D15" s="28"/>
      <c r="E15" s="28"/>
      <c r="F15" s="28"/>
      <c r="G15" s="28"/>
      <c r="H15" s="28"/>
      <c r="I15" s="28"/>
      <c r="J15" s="29"/>
    </row>
    <row r="16" spans="1:12" x14ac:dyDescent="0.35">
      <c r="A16" s="25" t="s">
        <v>98</v>
      </c>
      <c r="B16" s="26"/>
      <c r="C16" s="26"/>
      <c r="D16" s="26"/>
      <c r="E16" s="26"/>
      <c r="F16" s="26"/>
      <c r="G16" s="49"/>
      <c r="H16" s="49"/>
      <c r="I16" s="49"/>
      <c r="J16" s="50"/>
    </row>
    <row r="17" spans="1:12" x14ac:dyDescent="0.35">
      <c r="A17" s="43" t="s">
        <v>91</v>
      </c>
      <c r="B17" s="44"/>
      <c r="C17" s="44"/>
      <c r="D17" s="44"/>
      <c r="E17" s="44"/>
      <c r="F17" s="2" t="s">
        <v>1</v>
      </c>
      <c r="G17" s="33" t="s">
        <v>37</v>
      </c>
      <c r="H17" s="33"/>
      <c r="I17" s="51"/>
      <c r="J17" s="52"/>
      <c r="L17" s="62" t="s">
        <v>222</v>
      </c>
    </row>
    <row r="18" spans="1:12" x14ac:dyDescent="0.35">
      <c r="A18" s="43"/>
      <c r="B18" s="44"/>
      <c r="C18" s="44"/>
      <c r="D18" s="44"/>
      <c r="E18" s="44"/>
      <c r="F18" s="2" t="s">
        <v>2</v>
      </c>
      <c r="G18" s="33" t="s">
        <v>39</v>
      </c>
      <c r="H18" s="33"/>
      <c r="I18" s="51"/>
      <c r="J18" s="52"/>
      <c r="L18" s="62"/>
    </row>
    <row r="19" spans="1:12" x14ac:dyDescent="0.35">
      <c r="A19" s="43"/>
      <c r="B19" s="44"/>
      <c r="C19" s="44"/>
      <c r="D19" s="44"/>
      <c r="E19" s="44"/>
      <c r="F19" s="2" t="s">
        <v>3</v>
      </c>
      <c r="G19" s="33" t="s">
        <v>40</v>
      </c>
      <c r="H19" s="33"/>
      <c r="I19" s="51"/>
      <c r="J19" s="52"/>
      <c r="L19" s="62"/>
    </row>
    <row r="20" spans="1:12" x14ac:dyDescent="0.35">
      <c r="A20" s="43"/>
      <c r="B20" s="44"/>
      <c r="C20" s="44"/>
      <c r="D20" s="44"/>
      <c r="E20" s="44"/>
      <c r="F20" s="2" t="s">
        <v>4</v>
      </c>
      <c r="G20" s="33" t="s">
        <v>38</v>
      </c>
      <c r="H20" s="33"/>
      <c r="I20" s="51"/>
      <c r="J20" s="52"/>
      <c r="L20" s="62"/>
    </row>
    <row r="21" spans="1:12" ht="16" thickBot="1" x14ac:dyDescent="0.4">
      <c r="A21" s="70"/>
      <c r="B21" s="71"/>
      <c r="C21" s="71"/>
      <c r="D21" s="71"/>
      <c r="E21" s="71"/>
      <c r="F21" s="3" t="s">
        <v>21</v>
      </c>
      <c r="G21" s="59" t="s">
        <v>20</v>
      </c>
      <c r="H21" s="59"/>
      <c r="I21" s="60"/>
      <c r="J21" s="61"/>
      <c r="L21" s="62"/>
    </row>
    <row r="22" spans="1:12" x14ac:dyDescent="0.35">
      <c r="A22" s="41" t="s">
        <v>77</v>
      </c>
      <c r="B22" s="42"/>
      <c r="C22" s="42"/>
      <c r="D22" s="42"/>
      <c r="E22" s="42"/>
      <c r="F22" s="8" t="s">
        <v>1</v>
      </c>
      <c r="G22" s="26" t="s">
        <v>37</v>
      </c>
      <c r="H22" s="26"/>
      <c r="I22" s="49"/>
      <c r="J22" s="50"/>
    </row>
    <row r="23" spans="1:12" x14ac:dyDescent="0.35">
      <c r="A23" s="43"/>
      <c r="B23" s="44"/>
      <c r="C23" s="44"/>
      <c r="D23" s="44"/>
      <c r="E23" s="44"/>
      <c r="F23" s="2" t="s">
        <v>2</v>
      </c>
      <c r="G23" s="33" t="s">
        <v>39</v>
      </c>
      <c r="H23" s="33"/>
      <c r="I23" s="51"/>
      <c r="J23" s="52"/>
    </row>
    <row r="24" spans="1:12" x14ac:dyDescent="0.35">
      <c r="A24" s="43"/>
      <c r="B24" s="44"/>
      <c r="C24" s="44"/>
      <c r="D24" s="44"/>
      <c r="E24" s="44"/>
      <c r="F24" s="2" t="s">
        <v>3</v>
      </c>
      <c r="G24" s="33" t="s">
        <v>40</v>
      </c>
      <c r="H24" s="33"/>
      <c r="I24" s="51"/>
      <c r="J24" s="52"/>
    </row>
    <row r="25" spans="1:12" x14ac:dyDescent="0.35">
      <c r="A25" s="43"/>
      <c r="B25" s="44"/>
      <c r="C25" s="44"/>
      <c r="D25" s="44"/>
      <c r="E25" s="44"/>
      <c r="F25" s="2" t="s">
        <v>4</v>
      </c>
      <c r="G25" s="33" t="s">
        <v>38</v>
      </c>
      <c r="H25" s="33"/>
      <c r="I25" s="51"/>
      <c r="J25" s="52"/>
    </row>
    <row r="26" spans="1:12" ht="16" thickBot="1" x14ac:dyDescent="0.4">
      <c r="A26" s="45"/>
      <c r="B26" s="46"/>
      <c r="C26" s="46"/>
      <c r="D26" s="46"/>
      <c r="E26" s="46"/>
      <c r="F26" s="7" t="s">
        <v>21</v>
      </c>
      <c r="G26" s="31" t="s">
        <v>20</v>
      </c>
      <c r="H26" s="31"/>
      <c r="I26" s="47"/>
      <c r="J26" s="48"/>
    </row>
  </sheetData>
  <sheetProtection sheet="1" selectLockedCells="1"/>
  <dataConsolidate/>
  <mergeCells count="52">
    <mergeCell ref="L17:L21"/>
    <mergeCell ref="G8:J8"/>
    <mergeCell ref="A12:F12"/>
    <mergeCell ref="G12:J12"/>
    <mergeCell ref="G2:J2"/>
    <mergeCell ref="A2:F2"/>
    <mergeCell ref="A9:F9"/>
    <mergeCell ref="G11:J11"/>
    <mergeCell ref="A17:E21"/>
    <mergeCell ref="G22:H22"/>
    <mergeCell ref="I22:J22"/>
    <mergeCell ref="I17:J17"/>
    <mergeCell ref="G18:H18"/>
    <mergeCell ref="I18:J18"/>
    <mergeCell ref="G19:H19"/>
    <mergeCell ref="I19:J19"/>
    <mergeCell ref="G20:H20"/>
    <mergeCell ref="I20:J20"/>
    <mergeCell ref="G21:H21"/>
    <mergeCell ref="I21:J21"/>
    <mergeCell ref="A22:E26"/>
    <mergeCell ref="A7:F7"/>
    <mergeCell ref="G7:J7"/>
    <mergeCell ref="A8:F8"/>
    <mergeCell ref="G26:H26"/>
    <mergeCell ref="I26:J26"/>
    <mergeCell ref="G16:J16"/>
    <mergeCell ref="G24:H24"/>
    <mergeCell ref="G25:H25"/>
    <mergeCell ref="I23:J23"/>
    <mergeCell ref="I24:J24"/>
    <mergeCell ref="I25:J25"/>
    <mergeCell ref="G17:H17"/>
    <mergeCell ref="G23:H23"/>
    <mergeCell ref="G13:J13"/>
    <mergeCell ref="G14:J14"/>
    <mergeCell ref="A1:J1"/>
    <mergeCell ref="A16:F16"/>
    <mergeCell ref="A15:J15"/>
    <mergeCell ref="A14:F14"/>
    <mergeCell ref="A13:F13"/>
    <mergeCell ref="A11:F11"/>
    <mergeCell ref="A10:F10"/>
    <mergeCell ref="G9:J9"/>
    <mergeCell ref="A3:F3"/>
    <mergeCell ref="G3:J3"/>
    <mergeCell ref="A4:F4"/>
    <mergeCell ref="G4:J4"/>
    <mergeCell ref="A5:F5"/>
    <mergeCell ref="G5:J5"/>
    <mergeCell ref="A6:F6"/>
    <mergeCell ref="G6:J6"/>
  </mergeCells>
  <dataValidations count="7">
    <dataValidation type="list" showInputMessage="1" showErrorMessage="1" sqref="G14:J14" xr:uid="{16EE1AC9-3254-414F-BEB3-9B828387F42E}">
      <formula1>"Yes,No"</formula1>
    </dataValidation>
    <dataValidation type="list" showInputMessage="1" showErrorMessage="1" sqref="G11:J11" xr:uid="{9DC9A25E-9FAB-4F41-8437-EED4E8B4690A}">
      <formula1>"Paved,Unpaved"</formula1>
    </dataValidation>
    <dataValidation showInputMessage="1" showErrorMessage="1" sqref="G13:J13" xr:uid="{AD9611C0-99FE-4C22-AB80-7E5C27B81E90}"/>
    <dataValidation type="decimal" operator="greaterThanOrEqual" showInputMessage="1" showErrorMessage="1" error="Invalid input. Input must be greater than or equal to 0." sqref="I22:J26" xr:uid="{AE1A2108-E5AE-4FFC-86DB-ABC17F55FF28}">
      <formula1>0</formula1>
    </dataValidation>
    <dataValidation type="list" showInputMessage="1" showErrorMessage="1" sqref="G4:J4" xr:uid="{017237CF-6C32-4F42-A7CF-F1A578AC418C}">
      <formula1>"CA,CT,FL,IL,MN,TX,WA,Other"</formula1>
    </dataValidation>
    <dataValidation operator="greaterThan" showInputMessage="1" showErrorMessage="1" sqref="G3:J3" xr:uid="{443D3BBF-FCB5-48B1-A866-5728E954B927}"/>
    <dataValidation operator="greaterThanOrEqual" showInputMessage="1" showErrorMessage="1" sqref="I17:J21 G16:J16 G12:J12" xr:uid="{3EA5AB76-DFCC-49A9-B2A8-15AD176018C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1.SegmentInput_Click">
                <anchor moveWithCells="1" sizeWithCells="1">
                  <from>
                    <xdr:col>5</xdr:col>
                    <xdr:colOff>228600</xdr:colOff>
                    <xdr:row>27</xdr:row>
                    <xdr:rowOff>25400</xdr:rowOff>
                  </from>
                  <to>
                    <xdr:col>7</xdr:col>
                    <xdr:colOff>266700</xdr:colOff>
                    <xdr:row>28</xdr:row>
                    <xdr:rowOff>190500</xdr:rowOff>
                  </to>
                </anchor>
              </controlPr>
            </control>
          </mc:Choice>
        </mc:AlternateContent>
        <mc:AlternateContent xmlns:mc="http://schemas.openxmlformats.org/markup-compatibility/2006">
          <mc:Choice Requires="x14">
            <control shapeId="1037" r:id="rId5" name="Button 13">
              <controlPr defaultSize="0" print="0" autoFill="0" autoPict="0" macro="[0]!Sheet1.ClearSegments_Click">
                <anchor moveWithCells="1" sizeWithCells="1">
                  <from>
                    <xdr:col>7</xdr:col>
                    <xdr:colOff>393700</xdr:colOff>
                    <xdr:row>27</xdr:row>
                    <xdr:rowOff>25400</xdr:rowOff>
                  </from>
                  <to>
                    <xdr:col>9</xdr:col>
                    <xdr:colOff>431800</xdr:colOff>
                    <xdr:row>28</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89B5F8-855B-4E77-9810-0AB81F2A0655}">
          <x14:formula1>
            <xm:f>'Defined SPF'!$B$5:$B$21</xm:f>
          </x14:formula1>
          <xm:sqref>G2:J2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D8AC1-2FF6-4E11-9642-6F6EDE4F9447}">
  <sheetPr codeName="Sheet4"/>
  <dimension ref="A1:AX1"/>
  <sheetViews>
    <sheetView zoomScale="85" zoomScaleNormal="85" workbookViewId="0">
      <selection activeCell="AY1" sqref="AY1:AY1048576"/>
    </sheetView>
  </sheetViews>
  <sheetFormatPr defaultRowHeight="15.5" x14ac:dyDescent="0.35"/>
  <cols>
    <col min="1" max="1" width="5.1640625" bestFit="1" customWidth="1"/>
    <col min="2" max="2" width="7.33203125" bestFit="1" customWidth="1"/>
    <col min="3" max="3" width="10.83203125" bestFit="1" customWidth="1"/>
    <col min="4" max="4" width="6.1640625" bestFit="1" customWidth="1"/>
    <col min="5" max="5" width="8.08203125" bestFit="1" customWidth="1"/>
    <col min="6" max="6" width="6.58203125" bestFit="1" customWidth="1"/>
    <col min="7" max="7" width="4" bestFit="1" customWidth="1"/>
    <col min="8" max="8" width="5.4140625" bestFit="1" customWidth="1"/>
    <col min="9" max="9" width="4.5" bestFit="1" customWidth="1"/>
    <col min="10" max="10" width="3.1640625" bestFit="1" customWidth="1"/>
    <col min="11" max="11" width="4.58203125" bestFit="1" customWidth="1"/>
    <col min="12" max="12" width="3.1640625" bestFit="1" customWidth="1"/>
    <col min="13" max="13" width="4.83203125" bestFit="1" customWidth="1"/>
    <col min="14" max="14" width="5" bestFit="1" customWidth="1"/>
    <col min="15" max="15" width="2.33203125" bestFit="1" customWidth="1"/>
    <col min="16" max="18" width="2.1640625" bestFit="1" customWidth="1"/>
    <col min="19" max="19" width="2.4140625" bestFit="1" customWidth="1"/>
    <col min="20" max="20" width="6" bestFit="1" customWidth="1"/>
    <col min="21" max="21" width="5.83203125" bestFit="1" customWidth="1"/>
    <col min="22" max="22" width="5.6640625" bestFit="1" customWidth="1"/>
    <col min="23" max="23" width="5.83203125" bestFit="1" customWidth="1"/>
    <col min="24" max="24" width="6" bestFit="1" customWidth="1"/>
    <col min="25" max="25" width="32.08203125" bestFit="1" customWidth="1"/>
    <col min="26" max="26" width="16.9140625" bestFit="1" customWidth="1"/>
    <col min="27" max="27" width="12.5" bestFit="1" customWidth="1"/>
    <col min="28" max="28" width="7.5" bestFit="1" customWidth="1"/>
    <col min="29" max="29" width="8.6640625" bestFit="1" customWidth="1"/>
    <col min="30" max="30" width="15" bestFit="1" customWidth="1"/>
    <col min="31" max="31" width="8.4140625" bestFit="1" customWidth="1"/>
    <col min="32" max="32" width="6.33203125" bestFit="1" customWidth="1"/>
    <col min="33" max="33" width="6.1640625" bestFit="1" customWidth="1"/>
    <col min="34" max="34" width="6.08203125" bestFit="1" customWidth="1"/>
    <col min="35" max="35" width="5.58203125" bestFit="1" customWidth="1"/>
    <col min="36" max="36" width="6.83203125" bestFit="1" customWidth="1"/>
    <col min="37" max="37" width="6.1640625" bestFit="1" customWidth="1"/>
    <col min="38" max="38" width="6.83203125" bestFit="1" customWidth="1"/>
    <col min="39" max="39" width="8.83203125" bestFit="1" customWidth="1"/>
    <col min="40" max="40" width="7.5" bestFit="1" customWidth="1"/>
    <col min="41" max="41" width="7.33203125" bestFit="1" customWidth="1"/>
    <col min="42" max="42" width="7.1640625" bestFit="1" customWidth="1"/>
    <col min="43" max="43" width="7.33203125" bestFit="1" customWidth="1"/>
    <col min="44" max="44" width="7.5" bestFit="1" customWidth="1"/>
    <col min="45" max="45" width="9.33203125" bestFit="1" customWidth="1"/>
    <col min="46" max="46" width="8" bestFit="1" customWidth="1"/>
    <col min="47" max="47" width="7.83203125" bestFit="1" customWidth="1"/>
    <col min="48" max="48" width="7.6640625" bestFit="1" customWidth="1"/>
    <col min="49" max="49" width="7.83203125" bestFit="1" customWidth="1"/>
    <col min="50" max="50" width="8" bestFit="1" customWidth="1"/>
  </cols>
  <sheetData>
    <row r="1" spans="1:50" x14ac:dyDescent="0.35">
      <c r="A1" t="s">
        <v>0</v>
      </c>
      <c r="B1" t="s">
        <v>12</v>
      </c>
      <c r="C1" t="s">
        <v>49</v>
      </c>
      <c r="D1" t="s">
        <v>13</v>
      </c>
      <c r="E1" t="s">
        <v>18</v>
      </c>
      <c r="F1" t="s">
        <v>19</v>
      </c>
      <c r="G1" t="s">
        <v>198</v>
      </c>
      <c r="H1" t="s">
        <v>199</v>
      </c>
      <c r="I1" t="s">
        <v>200</v>
      </c>
      <c r="J1" t="s">
        <v>201</v>
      </c>
      <c r="K1" t="s">
        <v>202</v>
      </c>
      <c r="L1" t="s">
        <v>203</v>
      </c>
      <c r="M1" t="s">
        <v>11</v>
      </c>
      <c r="N1" t="s">
        <v>10</v>
      </c>
      <c r="O1" t="s">
        <v>1</v>
      </c>
      <c r="P1" t="s">
        <v>2</v>
      </c>
      <c r="Q1" t="s">
        <v>3</v>
      </c>
      <c r="R1" t="s">
        <v>4</v>
      </c>
      <c r="S1" t="s">
        <v>5</v>
      </c>
      <c r="T1" t="s">
        <v>92</v>
      </c>
      <c r="U1" t="s">
        <v>93</v>
      </c>
      <c r="V1" t="s">
        <v>94</v>
      </c>
      <c r="W1" t="s">
        <v>95</v>
      </c>
      <c r="X1" t="s">
        <v>96</v>
      </c>
      <c r="Y1" t="s">
        <v>53</v>
      </c>
      <c r="Z1" t="s">
        <v>207</v>
      </c>
      <c r="AA1" t="s">
        <v>14</v>
      </c>
      <c r="AB1" t="s">
        <v>204</v>
      </c>
      <c r="AC1" t="s">
        <v>205</v>
      </c>
      <c r="AD1" t="s">
        <v>206</v>
      </c>
      <c r="AE1" t="s">
        <v>50</v>
      </c>
      <c r="AF1" t="s">
        <v>6</v>
      </c>
      <c r="AG1" t="s">
        <v>7</v>
      </c>
      <c r="AH1" t="s">
        <v>8</v>
      </c>
      <c r="AI1" t="s">
        <v>15</v>
      </c>
      <c r="AJ1" t="s">
        <v>9</v>
      </c>
      <c r="AK1" t="s">
        <v>16</v>
      </c>
      <c r="AL1" t="s">
        <v>17</v>
      </c>
      <c r="AM1" t="s">
        <v>89</v>
      </c>
      <c r="AN1" t="s">
        <v>81</v>
      </c>
      <c r="AO1" t="s">
        <v>82</v>
      </c>
      <c r="AP1" t="s">
        <v>83</v>
      </c>
      <c r="AQ1" t="s">
        <v>80</v>
      </c>
      <c r="AR1" t="s">
        <v>79</v>
      </c>
      <c r="AS1" t="s">
        <v>90</v>
      </c>
      <c r="AT1" t="s">
        <v>84</v>
      </c>
      <c r="AU1" t="s">
        <v>85</v>
      </c>
      <c r="AV1" t="s">
        <v>86</v>
      </c>
      <c r="AW1" t="s">
        <v>87</v>
      </c>
      <c r="AX1" t="s">
        <v>88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BA055-D9AD-4BF2-BA42-EF8353D7577D}">
  <sheetPr codeName="Sheet6"/>
  <dimension ref="A1:Q17"/>
  <sheetViews>
    <sheetView zoomScale="85" zoomScaleNormal="85" workbookViewId="0">
      <selection activeCell="N7" sqref="N7"/>
    </sheetView>
  </sheetViews>
  <sheetFormatPr defaultRowHeight="15.5" x14ac:dyDescent="0.35"/>
  <cols>
    <col min="5" max="5" width="4.83203125" customWidth="1"/>
    <col min="12" max="12" width="53.9140625" style="18" customWidth="1"/>
  </cols>
  <sheetData>
    <row r="1" spans="1:17" ht="16" thickBot="1" x14ac:dyDescent="0.4">
      <c r="A1" s="89" t="s">
        <v>47</v>
      </c>
      <c r="B1" s="90"/>
      <c r="C1" s="90"/>
      <c r="D1" s="90"/>
      <c r="E1" s="90"/>
      <c r="F1" s="90"/>
      <c r="G1" s="90"/>
      <c r="H1" s="90"/>
      <c r="I1" s="90"/>
      <c r="J1" s="91"/>
      <c r="L1" s="18" t="s">
        <v>194</v>
      </c>
    </row>
    <row r="2" spans="1:17" ht="16" thickBot="1" x14ac:dyDescent="0.4">
      <c r="A2" s="83" t="s">
        <v>99</v>
      </c>
      <c r="B2" s="84"/>
      <c r="C2" s="84"/>
      <c r="D2" s="84"/>
      <c r="E2" s="84"/>
      <c r="F2" s="85"/>
      <c r="G2" s="86"/>
      <c r="H2" s="87"/>
      <c r="I2" s="87"/>
      <c r="J2" s="88"/>
    </row>
    <row r="3" spans="1:17" x14ac:dyDescent="0.35">
      <c r="A3" s="25" t="s">
        <v>78</v>
      </c>
      <c r="B3" s="26"/>
      <c r="C3" s="26"/>
      <c r="D3" s="26"/>
      <c r="E3" s="26"/>
      <c r="F3" s="26"/>
      <c r="G3" s="49"/>
      <c r="H3" s="49"/>
      <c r="I3" s="49"/>
      <c r="J3" s="50"/>
      <c r="M3" s="5"/>
      <c r="N3" s="5"/>
      <c r="O3" s="5"/>
      <c r="P3" s="5"/>
      <c r="Q3" s="5"/>
    </row>
    <row r="4" spans="1:17" x14ac:dyDescent="0.35">
      <c r="A4" s="32" t="s">
        <v>48</v>
      </c>
      <c r="B4" s="33"/>
      <c r="C4" s="33"/>
      <c r="D4" s="33"/>
      <c r="E4" s="33"/>
      <c r="F4" s="33"/>
      <c r="G4" s="79"/>
      <c r="H4" s="79"/>
      <c r="I4" s="79"/>
      <c r="J4" s="80"/>
    </row>
    <row r="5" spans="1:17" ht="16.75" customHeight="1" x14ac:dyDescent="0.35">
      <c r="A5" s="81" t="s">
        <v>27</v>
      </c>
      <c r="B5" s="82"/>
      <c r="C5" s="82"/>
      <c r="D5" s="82"/>
      <c r="E5" s="82"/>
      <c r="F5" s="82"/>
      <c r="G5" s="51"/>
      <c r="H5" s="51"/>
      <c r="I5" s="51"/>
      <c r="J5" s="52"/>
    </row>
    <row r="6" spans="1:17" ht="16.75" customHeight="1" x14ac:dyDescent="0.35">
      <c r="A6" s="81" t="s">
        <v>28</v>
      </c>
      <c r="B6" s="82"/>
      <c r="C6" s="82"/>
      <c r="D6" s="82"/>
      <c r="E6" s="82"/>
      <c r="F6" s="82"/>
      <c r="G6" s="51"/>
      <c r="H6" s="51"/>
      <c r="I6" s="51"/>
      <c r="J6" s="52"/>
    </row>
    <row r="7" spans="1:17" ht="52.5" customHeight="1" x14ac:dyDescent="0.35">
      <c r="A7" s="32" t="s">
        <v>31</v>
      </c>
      <c r="B7" s="33"/>
      <c r="C7" s="33"/>
      <c r="D7" s="33"/>
      <c r="E7" s="33"/>
      <c r="F7" s="33"/>
      <c r="G7" s="2" t="s">
        <v>43</v>
      </c>
      <c r="H7" s="9"/>
      <c r="I7" s="2" t="s">
        <v>44</v>
      </c>
      <c r="J7" s="6"/>
      <c r="L7" s="20" t="s">
        <v>196</v>
      </c>
    </row>
    <row r="8" spans="1:17" x14ac:dyDescent="0.35">
      <c r="A8" s="32" t="s">
        <v>51</v>
      </c>
      <c r="B8" s="33"/>
      <c r="C8" s="33"/>
      <c r="D8" s="33"/>
      <c r="E8" s="33"/>
      <c r="F8" s="33"/>
      <c r="G8" s="2" t="s">
        <v>43</v>
      </c>
      <c r="H8" s="9"/>
      <c r="I8" s="2" t="s">
        <v>44</v>
      </c>
      <c r="J8" s="6"/>
    </row>
    <row r="9" spans="1:17" x14ac:dyDescent="0.35">
      <c r="A9" s="32" t="s">
        <v>45</v>
      </c>
      <c r="B9" s="33"/>
      <c r="C9" s="33"/>
      <c r="D9" s="33"/>
      <c r="E9" s="33"/>
      <c r="F9" s="33"/>
      <c r="G9" s="79"/>
      <c r="H9" s="79"/>
      <c r="I9" s="79"/>
      <c r="J9" s="80"/>
    </row>
    <row r="10" spans="1:17" x14ac:dyDescent="0.35">
      <c r="A10" s="32" t="s">
        <v>42</v>
      </c>
      <c r="B10" s="33"/>
      <c r="C10" s="33"/>
      <c r="D10" s="33"/>
      <c r="E10" s="33"/>
      <c r="F10" s="33"/>
      <c r="G10" s="51"/>
      <c r="H10" s="51"/>
      <c r="I10" s="51"/>
      <c r="J10" s="52"/>
    </row>
    <row r="11" spans="1:17" ht="16" thickBot="1" x14ac:dyDescent="0.4">
      <c r="A11" s="30" t="s">
        <v>35</v>
      </c>
      <c r="B11" s="31"/>
      <c r="C11" s="31"/>
      <c r="D11" s="31"/>
      <c r="E11" s="31"/>
      <c r="F11" s="31"/>
      <c r="G11" s="72"/>
      <c r="H11" s="72"/>
      <c r="I11" s="72"/>
      <c r="J11" s="73"/>
    </row>
    <row r="12" spans="1:17" ht="31" x14ac:dyDescent="0.35">
      <c r="A12" s="25" t="s">
        <v>98</v>
      </c>
      <c r="B12" s="26"/>
      <c r="C12" s="26"/>
      <c r="D12" s="26"/>
      <c r="E12" s="26"/>
      <c r="F12" s="26"/>
      <c r="G12" s="49"/>
      <c r="H12" s="49"/>
      <c r="I12" s="49"/>
      <c r="J12" s="50"/>
      <c r="L12" s="19" t="s">
        <v>195</v>
      </c>
    </row>
    <row r="13" spans="1:17" x14ac:dyDescent="0.35">
      <c r="A13" s="77" t="s">
        <v>77</v>
      </c>
      <c r="B13" s="78"/>
      <c r="C13" s="78"/>
      <c r="D13" s="78"/>
      <c r="E13" s="78"/>
      <c r="F13" s="10" t="s">
        <v>1</v>
      </c>
      <c r="G13" s="76" t="s">
        <v>37</v>
      </c>
      <c r="H13" s="76"/>
      <c r="I13" s="74"/>
      <c r="J13" s="75"/>
    </row>
    <row r="14" spans="1:17" x14ac:dyDescent="0.35">
      <c r="A14" s="43"/>
      <c r="B14" s="44"/>
      <c r="C14" s="44"/>
      <c r="D14" s="44"/>
      <c r="E14" s="44"/>
      <c r="F14" s="2" t="s">
        <v>2</v>
      </c>
      <c r="G14" s="33" t="s">
        <v>39</v>
      </c>
      <c r="H14" s="33"/>
      <c r="I14" s="51"/>
      <c r="J14" s="52"/>
    </row>
    <row r="15" spans="1:17" x14ac:dyDescent="0.35">
      <c r="A15" s="43"/>
      <c r="B15" s="44"/>
      <c r="C15" s="44"/>
      <c r="D15" s="44"/>
      <c r="E15" s="44"/>
      <c r="F15" s="2" t="s">
        <v>3</v>
      </c>
      <c r="G15" s="33" t="s">
        <v>40</v>
      </c>
      <c r="H15" s="33"/>
      <c r="I15" s="51"/>
      <c r="J15" s="52"/>
    </row>
    <row r="16" spans="1:17" x14ac:dyDescent="0.35">
      <c r="A16" s="43"/>
      <c r="B16" s="44"/>
      <c r="C16" s="44"/>
      <c r="D16" s="44"/>
      <c r="E16" s="44"/>
      <c r="F16" s="2" t="s">
        <v>4</v>
      </c>
      <c r="G16" s="33" t="s">
        <v>38</v>
      </c>
      <c r="H16" s="33"/>
      <c r="I16" s="51"/>
      <c r="J16" s="52"/>
    </row>
    <row r="17" spans="1:10" ht="16" thickBot="1" x14ac:dyDescent="0.4">
      <c r="A17" s="45"/>
      <c r="B17" s="46"/>
      <c r="C17" s="46"/>
      <c r="D17" s="46"/>
      <c r="E17" s="46"/>
      <c r="F17" s="7" t="s">
        <v>21</v>
      </c>
      <c r="G17" s="31" t="s">
        <v>20</v>
      </c>
      <c r="H17" s="31"/>
      <c r="I17" s="47"/>
      <c r="J17" s="48"/>
    </row>
  </sheetData>
  <sheetProtection selectLockedCells="1"/>
  <mergeCells count="32">
    <mergeCell ref="A2:F2"/>
    <mergeCell ref="G2:J2"/>
    <mergeCell ref="A4:F4"/>
    <mergeCell ref="A1:J1"/>
    <mergeCell ref="A3:F3"/>
    <mergeCell ref="G3:J3"/>
    <mergeCell ref="G4:J4"/>
    <mergeCell ref="G9:J9"/>
    <mergeCell ref="G6:J6"/>
    <mergeCell ref="G5:J5"/>
    <mergeCell ref="A9:F9"/>
    <mergeCell ref="A8:F8"/>
    <mergeCell ref="A7:F7"/>
    <mergeCell ref="A6:F6"/>
    <mergeCell ref="A5:F5"/>
    <mergeCell ref="A13:E17"/>
    <mergeCell ref="A12:F12"/>
    <mergeCell ref="A11:F11"/>
    <mergeCell ref="A10:F10"/>
    <mergeCell ref="G16:H16"/>
    <mergeCell ref="I16:J16"/>
    <mergeCell ref="G17:H17"/>
    <mergeCell ref="G10:J10"/>
    <mergeCell ref="G11:J11"/>
    <mergeCell ref="I13:J13"/>
    <mergeCell ref="G14:H14"/>
    <mergeCell ref="I14:J14"/>
    <mergeCell ref="G15:H15"/>
    <mergeCell ref="I15:J15"/>
    <mergeCell ref="G12:J12"/>
    <mergeCell ref="I17:J17"/>
    <mergeCell ref="G13:H13"/>
  </mergeCells>
  <conditionalFormatting sqref="G5:G6">
    <cfRule type="cellIs" dxfId="12" priority="3" stopIfTrue="1" operator="greaterThan">
      <formula>#REF!</formula>
    </cfRule>
  </conditionalFormatting>
  <conditionalFormatting sqref="G3">
    <cfRule type="cellIs" dxfId="11" priority="1" stopIfTrue="1" operator="greaterThan">
      <formula>#REF!</formula>
    </cfRule>
  </conditionalFormatting>
  <dataValidations count="6">
    <dataValidation type="list" showInputMessage="1" showErrorMessage="1" sqref="G4:J4" xr:uid="{1401DA1B-3ACA-420B-8067-57964EEDFFF7}">
      <formula1>"CA,CT,FL,MN,Other"</formula1>
    </dataValidation>
    <dataValidation showInputMessage="1" showErrorMessage="1" sqref="G10:J10" xr:uid="{A8A74A60-931E-4020-9C78-EFE313766AB6}"/>
    <dataValidation type="list" showInputMessage="1" showErrorMessage="1" sqref="G11:J11 G9:J9" xr:uid="{05CC9E7B-DA4E-4F45-87A3-CFD73B178BF5}">
      <formula1>"Yes,No"</formula1>
    </dataValidation>
    <dataValidation operator="greaterThan" showInputMessage="1" showErrorMessage="1" sqref="H8 J8" xr:uid="{C9B3DEE8-E2A2-4678-82F3-6BC8AC3B087B}"/>
    <dataValidation type="decimal" operator="greaterThanOrEqual" showInputMessage="1" showErrorMessage="1" error="Invalid input. Input must be greater than or equal to 0." sqref="I13:J17" xr:uid="{84BF3BB1-9C5D-4C82-9167-B5DAE292AFC1}">
      <formula1>0</formula1>
    </dataValidation>
    <dataValidation operator="greaterThanOrEqual" showInputMessage="1" showErrorMessage="1" sqref="H7 J7 G12:J12 G5:J6" xr:uid="{51ADA5EA-C4FC-4787-A0F1-291E5D814F6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Sheet6.IntersectionInput_Click">
                <anchor moveWithCells="1" sizeWithCells="1">
                  <from>
                    <xdr:col>5</xdr:col>
                    <xdr:colOff>368300</xdr:colOff>
                    <xdr:row>18</xdr:row>
                    <xdr:rowOff>6350</xdr:rowOff>
                  </from>
                  <to>
                    <xdr:col>7</xdr:col>
                    <xdr:colOff>406400</xdr:colOff>
                    <xdr:row>19</xdr:row>
                    <xdr:rowOff>184150</xdr:rowOff>
                  </to>
                </anchor>
              </controlPr>
            </control>
          </mc:Choice>
        </mc:AlternateContent>
        <mc:AlternateContent xmlns:mc="http://schemas.openxmlformats.org/markup-compatibility/2006">
          <mc:Choice Requires="x14">
            <control shapeId="6147" r:id="rId5" name="Button 3">
              <controlPr defaultSize="0" print="0" autoFill="0" autoPict="0" macro="[0]!Sheet6.ClearIntersections_Click">
                <anchor moveWithCells="1" sizeWithCells="1">
                  <from>
                    <xdr:col>7</xdr:col>
                    <xdr:colOff>615950</xdr:colOff>
                    <xdr:row>18</xdr:row>
                    <xdr:rowOff>6350</xdr:rowOff>
                  </from>
                  <to>
                    <xdr:col>9</xdr:col>
                    <xdr:colOff>654050</xdr:colOff>
                    <xdr:row>19</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BF668ADD-DE54-46C3-9283-3032E6F56F78}">
          <x14:formula1>
            <xm:f>'Defined SPF'!$B$22:$B$28</xm:f>
          </x14:formula1>
          <xm:sqref>G2:J2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DD12C-815B-45E4-BB06-45265EAEB012}">
  <sheetPr codeName="Sheet7"/>
  <dimension ref="A1:AP1"/>
  <sheetViews>
    <sheetView topLeftCell="T1" zoomScale="85" zoomScaleNormal="85" workbookViewId="0">
      <selection activeCell="AP2" sqref="AP2"/>
    </sheetView>
  </sheetViews>
  <sheetFormatPr defaultRowHeight="15.5" x14ac:dyDescent="0.35"/>
  <cols>
    <col min="1" max="1" width="5.58203125" bestFit="1" customWidth="1"/>
    <col min="2" max="2" width="10" bestFit="1" customWidth="1"/>
    <col min="3" max="4" width="9.9140625" bestFit="1" customWidth="1"/>
    <col min="5" max="5" width="11.5" bestFit="1" customWidth="1"/>
    <col min="6" max="6" width="11.6640625" bestFit="1" customWidth="1"/>
    <col min="7" max="7" width="8.6640625" bestFit="1" customWidth="1"/>
    <col min="8" max="8" width="8.9140625" bestFit="1" customWidth="1"/>
    <col min="9" max="9" width="5.9140625" bestFit="1" customWidth="1"/>
    <col min="10" max="10" width="6.83203125" bestFit="1" customWidth="1"/>
    <col min="11" max="11" width="4.9140625" bestFit="1" customWidth="1"/>
    <col min="12" max="12" width="5.1640625" bestFit="1" customWidth="1"/>
    <col min="13" max="13" width="6.1640625" bestFit="1" customWidth="1"/>
    <col min="14" max="14" width="6.08203125" bestFit="1" customWidth="1"/>
    <col min="15" max="16" width="6.1640625" bestFit="1" customWidth="1"/>
    <col min="17" max="17" width="6.33203125" bestFit="1" customWidth="1"/>
    <col min="18" max="18" width="22.1640625" bestFit="1" customWidth="1"/>
    <col min="19" max="19" width="15.08203125" bestFit="1" customWidth="1"/>
    <col min="20" max="20" width="15.1640625" bestFit="1" customWidth="1"/>
    <col min="21" max="21" width="10.9140625" bestFit="1" customWidth="1"/>
    <col min="22" max="22" width="8.08203125" bestFit="1" customWidth="1"/>
    <col min="23" max="23" width="13.6640625" bestFit="1" customWidth="1"/>
    <col min="24" max="24" width="13.58203125" bestFit="1" customWidth="1"/>
    <col min="25" max="25" width="14.9140625" bestFit="1" customWidth="1"/>
    <col min="26" max="26" width="8.58203125" bestFit="1" customWidth="1"/>
    <col min="27" max="27" width="6.58203125" bestFit="1" customWidth="1"/>
    <col min="28" max="29" width="6.5" bestFit="1" customWidth="1"/>
    <col min="30" max="30" width="7.1640625" bestFit="1" customWidth="1"/>
    <col min="31" max="31" width="9.33203125" bestFit="1" customWidth="1"/>
    <col min="32" max="32" width="8.5" bestFit="1" customWidth="1"/>
    <col min="33" max="34" width="7.6640625" bestFit="1" customWidth="1"/>
    <col min="35" max="35" width="7.58203125" bestFit="1" customWidth="1"/>
    <col min="36" max="36" width="7.6640625" bestFit="1" customWidth="1"/>
    <col min="37" max="37" width="9.9140625" bestFit="1" customWidth="1"/>
    <col min="38" max="38" width="8.5" bestFit="1" customWidth="1"/>
    <col min="39" max="40" width="8.33203125" bestFit="1" customWidth="1"/>
    <col min="41" max="41" width="8.1640625" bestFit="1" customWidth="1"/>
    <col min="42" max="42" width="8.33203125" bestFit="1" customWidth="1"/>
  </cols>
  <sheetData>
    <row r="1" spans="1:42" x14ac:dyDescent="0.35">
      <c r="A1" t="s">
        <v>0</v>
      </c>
      <c r="B1" t="s">
        <v>29</v>
      </c>
      <c r="C1" t="s">
        <v>208</v>
      </c>
      <c r="D1" t="s">
        <v>209</v>
      </c>
      <c r="E1" t="s">
        <v>210</v>
      </c>
      <c r="F1" t="s">
        <v>211</v>
      </c>
      <c r="G1" t="s">
        <v>212</v>
      </c>
      <c r="H1" t="s">
        <v>213</v>
      </c>
      <c r="I1" t="s">
        <v>30</v>
      </c>
      <c r="J1" t="s">
        <v>214</v>
      </c>
      <c r="K1" t="s">
        <v>11</v>
      </c>
      <c r="L1" t="s">
        <v>10</v>
      </c>
      <c r="M1" t="s">
        <v>92</v>
      </c>
      <c r="N1" t="s">
        <v>93</v>
      </c>
      <c r="O1" t="s">
        <v>94</v>
      </c>
      <c r="P1" t="s">
        <v>95</v>
      </c>
      <c r="Q1" t="s">
        <v>96</v>
      </c>
      <c r="R1" t="s">
        <v>53</v>
      </c>
      <c r="S1" t="s">
        <v>215</v>
      </c>
      <c r="T1" t="s">
        <v>216</v>
      </c>
      <c r="U1" t="s">
        <v>217</v>
      </c>
      <c r="V1" t="s">
        <v>18</v>
      </c>
      <c r="W1" t="s">
        <v>218</v>
      </c>
      <c r="X1" t="s">
        <v>219</v>
      </c>
      <c r="Y1" t="s">
        <v>206</v>
      </c>
      <c r="Z1" t="s">
        <v>50</v>
      </c>
      <c r="AA1" t="s">
        <v>6</v>
      </c>
      <c r="AB1" t="s">
        <v>7</v>
      </c>
      <c r="AC1" t="s">
        <v>8</v>
      </c>
      <c r="AD1" t="s">
        <v>9</v>
      </c>
      <c r="AE1" t="s">
        <v>89</v>
      </c>
      <c r="AF1" t="s">
        <v>81</v>
      </c>
      <c r="AG1" t="s">
        <v>82</v>
      </c>
      <c r="AH1" t="s">
        <v>83</v>
      </c>
      <c r="AI1" t="s">
        <v>80</v>
      </c>
      <c r="AJ1" t="s">
        <v>79</v>
      </c>
      <c r="AK1" t="s">
        <v>90</v>
      </c>
      <c r="AL1" t="s">
        <v>84</v>
      </c>
      <c r="AM1" t="s">
        <v>85</v>
      </c>
      <c r="AN1" t="s">
        <v>86</v>
      </c>
      <c r="AO1" t="s">
        <v>87</v>
      </c>
      <c r="AP1" t="s">
        <v>88</v>
      </c>
    </row>
  </sheetData>
  <phoneticPr fontId="1"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6949E62520F54490202E2EAEC20046" ma:contentTypeVersion="13" ma:contentTypeDescription="Create a new document." ma:contentTypeScope="" ma:versionID="46be028201dbda10cc8eb56e13678c53">
  <xsd:schema xmlns:xsd="http://www.w3.org/2001/XMLSchema" xmlns:xs="http://www.w3.org/2001/XMLSchema" xmlns:p="http://schemas.microsoft.com/office/2006/metadata/properties" xmlns:ns3="15395b77-dc00-4c7e-8eb4-07f795bf401e" xmlns:ns4="7654ca45-fe6a-46a8-96c6-8cfe18af7194" targetNamespace="http://schemas.microsoft.com/office/2006/metadata/properties" ma:root="true" ma:fieldsID="a80128dd00d8a7ee1576e2143ab35890" ns3:_="" ns4:_="">
    <xsd:import namespace="15395b77-dc00-4c7e-8eb4-07f795bf401e"/>
    <xsd:import namespace="7654ca45-fe6a-46a8-96c6-8cfe18af719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5395b77-dc00-4c7e-8eb4-07f795bf401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654ca45-fe6a-46a8-96c6-8cfe18af719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DFAB2B8-9113-47F7-BB5D-331772C7F4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5395b77-dc00-4c7e-8eb4-07f795bf401e"/>
    <ds:schemaRef ds:uri="7654ca45-fe6a-46a8-96c6-8cfe18af71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6898F5D-819E-4D52-B27D-816D6F6A94F6}">
  <ds:schemaRefs>
    <ds:schemaRef ds:uri="http://schemas.microsoft.com/office/2006/documentManagement/types"/>
    <ds:schemaRef ds:uri="http://schemas.microsoft.com/office/infopath/2007/PartnerControls"/>
    <ds:schemaRef ds:uri="15395b77-dc00-4c7e-8eb4-07f795bf401e"/>
    <ds:schemaRef ds:uri="http://purl.org/dc/elements/1.1/"/>
    <ds:schemaRef ds:uri="http://schemas.microsoft.com/office/2006/metadata/properties"/>
    <ds:schemaRef ds:uri="http://purl.org/dc/terms/"/>
    <ds:schemaRef ds:uri="7654ca45-fe6a-46a8-96c6-8cfe18af7194"/>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7B099F49-B11A-4779-B12A-52B0682C128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Defined SPF</vt:lpstr>
      <vt:lpstr>Introduction</vt:lpstr>
      <vt:lpstr>Segment Input</vt:lpstr>
      <vt:lpstr>Segment Output</vt:lpstr>
      <vt:lpstr>Intersection Input</vt:lpstr>
      <vt:lpstr>Intersection 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Savarese, Michael</dc:creator>
  <cp:lastModifiedBy>Shahrior Pervaz</cp:lastModifiedBy>
  <dcterms:created xsi:type="dcterms:W3CDTF">2015-05-29T17:52:07Z</dcterms:created>
  <dcterms:modified xsi:type="dcterms:W3CDTF">2023-11-16T17:13:34Z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ea1fbe2280154525806aeb24338b2cfb</vt:lpwstr>
  </property>
  <property fmtid="{D5CDD505-2E9C-101B-9397-08002B2CF9AE}" pid="3" name="ContentTypeId">
    <vt:lpwstr>0x010100CA6949E62520F54490202E2EAEC20046</vt:lpwstr>
  </property>
</Properties>
</file>